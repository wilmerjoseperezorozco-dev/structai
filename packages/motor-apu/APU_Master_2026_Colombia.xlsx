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RTADA" sheetId="1" r:id="rId4"/>
    <sheet state="visible" name="PARAMETROS" sheetId="2" r:id="rId5"/>
    <sheet state="visible" name="PRELIMINARES" sheetId="3" r:id="rId6"/>
    <sheet state="visible" name="EXCAVACION" sheetId="4" r:id="rId7"/>
    <sheet state="visible" name="CONCRETO" sheetId="5" r:id="rId8"/>
    <sheet state="visible" name="ACERO" sheetId="6" r:id="rId9"/>
    <sheet state="visible" name="MAMPOSTERIA" sheetId="7" r:id="rId10"/>
    <sheet state="visible" name="REDES_HID" sheetId="8" r:id="rId11"/>
    <sheet state="visible" name="REDES_ELECT" sheetId="9" r:id="rId12"/>
    <sheet state="visible" name="CUBIERTA" sheetId="10" r:id="rId13"/>
    <sheet state="visible" name="ANALISIS" sheetId="11" r:id="rId14"/>
  </sheets>
  <definedNames/>
  <calcPr/>
  <extLst>
    <ext uri="GoogleSheetsCustomDataVersion2">
      <go:sheetsCustomData xmlns:go="http://customooxmlschemas.google.com/" r:id="rId15" roundtripDataChecksum="hlU3xa3oLrPW1dfzNtIi4hrKkYDVGHcXW8nj5g4VyBw="/>
    </ext>
  </extLst>
</workbook>
</file>

<file path=xl/sharedStrings.xml><?xml version="1.0" encoding="utf-8"?>
<sst xmlns="http://schemas.openxmlformats.org/spreadsheetml/2006/main" count="899" uniqueCount="328">
  <si>
    <t>APU MASTER 2026 — COLOMBIA</t>
  </si>
  <si>
    <t>Formato profesional con precios actualizados, rendimientos certificados e incertidumbre</t>
  </si>
  <si>
    <t>Versión:</t>
  </si>
  <si>
    <t>1.0.0 — 2026</t>
  </si>
  <si>
    <t>Capítulos:</t>
  </si>
  <si>
    <t>Preliminares, Excavación, Concreto, Acero, Mampostería, Redes Hidráulicas, Redes Eléctricas, Cubierta</t>
  </si>
  <si>
    <t>Ciudades:</t>
  </si>
  <si>
    <t>Bogotá, Medellín, Cali, Barranquilla, Bucaramanga, Tunja, Pereira, Cartagena</t>
  </si>
  <si>
    <t>Precios base:</t>
  </si>
  <si>
    <t>Construdata Ed.187 ajustados a 2026</t>
  </si>
  <si>
    <t>Rendimientos:</t>
  </si>
  <si>
    <t>NSR-10 DES + Experiencia campo — con ±15% rango de incertidumbre</t>
  </si>
  <si>
    <t>Fórmulas:</t>
  </si>
  <si>
    <t>Completamente auditables — cada componente con derivación desde primeros principios</t>
  </si>
  <si>
    <t>Fecha:</t>
  </si>
  <si>
    <t>18/06/2026</t>
  </si>
  <si>
    <t>HOJAS DEL DOCUMENTO</t>
  </si>
  <si>
    <t>PARAMETROS</t>
  </si>
  <si>
    <t>Matriz de ciudades + factores de ajuste + parámetros técnicos</t>
  </si>
  <si>
    <t>PRELIMINARES</t>
  </si>
  <si>
    <t>Limpieza, demoliciones, transporte, señalización, campamento</t>
  </si>
  <si>
    <t>EXCAVACION</t>
  </si>
  <si>
    <t>Excavación estructural, entibados, bombeo, acarreo</t>
  </si>
  <si>
    <t>CONCRETO</t>
  </si>
  <si>
    <t>Columnas, vigas, placas, zapatas — concreto 3000 PSI + acero G-60 DES</t>
  </si>
  <si>
    <t>ACERO</t>
  </si>
  <si>
    <t>Refuerzo en varilla, malla, perfiles — con detallado NSR-10</t>
  </si>
  <si>
    <t>MAMPOSTERIA</t>
  </si>
  <si>
    <t>Bloques, ladrillo, mortero — mampostería confinada/reforzada</t>
  </si>
  <si>
    <t>REDES_HID</t>
  </si>
  <si>
    <t>Tuberías, válvulas, accesorios — red sanitaria, agua fría, agua caliente</t>
  </si>
  <si>
    <t>REDES_ELECT</t>
  </si>
  <si>
    <t>Canaleta, cable, cajas, luminarias — 480V distribución / 120/240V uso</t>
  </si>
  <si>
    <t>CUBIERTA</t>
  </si>
  <si>
    <t>Estructura soporte + cobertura — teja, lámina galvanizada, membrana</t>
  </si>
  <si>
    <t>ANALISIS</t>
  </si>
  <si>
    <t>Sensibilidad, análisis de incertidumbre ±15%, comparativa ciudades</t>
  </si>
  <si>
    <t>LEYENDA: 🔵 AZUL = Ingresa aquí | ⚫ Negro = Fórmula | 🟢 Verde = Resultado OK | 🔴 Rojo = Revisar</t>
  </si>
  <si>
    <t>PARÁMETROS TÉCNICOS Y FACTORES DE AJUSTE — 2026</t>
  </si>
  <si>
    <t>Ciudad</t>
  </si>
  <si>
    <t>Departamento</t>
  </si>
  <si>
    <t>Altitud (m)</t>
  </si>
  <si>
    <t>Aa (g)</t>
  </si>
  <si>
    <t>Zona sísmica</t>
  </si>
  <si>
    <t>Factor Construdata</t>
  </si>
  <si>
    <t>Factor clima</t>
  </si>
  <si>
    <t>IPC ajuste 2026</t>
  </si>
  <si>
    <t>Factor total</t>
  </si>
  <si>
    <t>Ref. base</t>
  </si>
  <si>
    <t>Observaciones</t>
  </si>
  <si>
    <t>Bogotá</t>
  </si>
  <si>
    <t>Cundinamarca</t>
  </si>
  <si>
    <t>Alta</t>
  </si>
  <si>
    <t>Construdata Ed.187</t>
  </si>
  <si>
    <t>Verificar acceso a datos locales</t>
  </si>
  <si>
    <t>Medellín</t>
  </si>
  <si>
    <t>Antioquia</t>
  </si>
  <si>
    <t>Cali</t>
  </si>
  <si>
    <t>Valle</t>
  </si>
  <si>
    <t>Barranquilla</t>
  </si>
  <si>
    <t>Atlántico</t>
  </si>
  <si>
    <t>Intermedia</t>
  </si>
  <si>
    <t>Bucaramanga</t>
  </si>
  <si>
    <t>Santander</t>
  </si>
  <si>
    <t>Tunja</t>
  </si>
  <si>
    <t>Boyacá</t>
  </si>
  <si>
    <t>Pereira</t>
  </si>
  <si>
    <t>Risaralda</t>
  </si>
  <si>
    <t>Cartagena</t>
  </si>
  <si>
    <t>Bolívar</t>
  </si>
  <si>
    <t>Baja</t>
  </si>
  <si>
    <t>PARÁMETROS GLOBALES DE DISEÑO NSR-10</t>
  </si>
  <si>
    <t>Concreto estructural f'c mínimo</t>
  </si>
  <si>
    <t>21</t>
  </si>
  <si>
    <t>MPa</t>
  </si>
  <si>
    <t>3000 PSI — zonas Alta/Intermedia obligatorio</t>
  </si>
  <si>
    <t>Acero de refuerzo fy</t>
  </si>
  <si>
    <t>420</t>
  </si>
  <si>
    <t>G-60 = 60.000 PSI — NSR-10 DES obligatorio</t>
  </si>
  <si>
    <t>Rendimiento oficial cuadrilla AA</t>
  </si>
  <si>
    <t>1.30</t>
  </si>
  <si>
    <t>hc/día</t>
  </si>
  <si>
    <t>Incluye maestro mampostero + 2 ayudantes</t>
  </si>
  <si>
    <t>Separación máx. estribos zona conf.</t>
  </si>
  <si>
    <t>100</t>
  </si>
  <si>
    <t>mm</t>
  </si>
  <si>
    <t>NSR-10 C.21.4.4.2 — d/4, 6db, 100mm: MIN</t>
  </si>
  <si>
    <t>Recubrimiento mínimo zona interior</t>
  </si>
  <si>
    <t>40</t>
  </si>
  <si>
    <t>NSR-10 C.7.7 — concreto estructural</t>
  </si>
  <si>
    <t>Mortero mampostería</t>
  </si>
  <si>
    <t>1:4</t>
  </si>
  <si>
    <t>—</t>
  </si>
  <si>
    <t>Cemento:Arena — Tipo S para estructural</t>
  </si>
  <si>
    <t>Carga viva residencial</t>
  </si>
  <si>
    <t>1.8</t>
  </si>
  <si>
    <t>kN/m²</t>
  </si>
  <si>
    <t>NSR-10 Tabla B.4.2-1</t>
  </si>
  <si>
    <t>Carga muerta estimada</t>
  </si>
  <si>
    <t>8.0</t>
  </si>
  <si>
    <t>Estructura + acabados — típico</t>
  </si>
  <si>
    <t>Factor seguridad cimentación</t>
  </si>
  <si>
    <t>3.0</t>
  </si>
  <si>
    <t>NSR-10 Cap. H — capacidad portante</t>
  </si>
  <si>
    <t>Rango incertidumbre materiales</t>
  </si>
  <si>
    <t>±15%</t>
  </si>
  <si>
    <t>Variación precio ±10%, rendimiento ±5%</t>
  </si>
  <si>
    <t>CAPÍTULO 1 — PRELIMINARES</t>
  </si>
  <si>
    <t>Limpieza, demolición, campamento, señalización, transporte</t>
  </si>
  <si>
    <t>PREL-001 — Limpieza y demolición de estructura existente | Unidad: m²</t>
  </si>
  <si>
    <t>#</t>
  </si>
  <si>
    <t>Componente</t>
  </si>
  <si>
    <t>Categ.</t>
  </si>
  <si>
    <t>Und</t>
  </si>
  <si>
    <t>Cant./ud</t>
  </si>
  <si>
    <t>P.U. Bogotá</t>
  </si>
  <si>
    <t>Subtotal BG</t>
  </si>
  <si>
    <t>Factor ciudad</t>
  </si>
  <si>
    <t>P.U. ajustado</t>
  </si>
  <si>
    <t>Total</t>
  </si>
  <si>
    <t>Rend. (und/h)</t>
  </si>
  <si>
    <t>Inc. ±%</t>
  </si>
  <si>
    <t>Mín</t>
  </si>
  <si>
    <t>Máx</t>
  </si>
  <si>
    <t>Cuadrilla para demolición</t>
  </si>
  <si>
    <t>mo</t>
  </si>
  <si>
    <t>hc</t>
  </si>
  <si>
    <t>Transporte escombros a botadero</t>
  </si>
  <si>
    <t>trp</t>
  </si>
  <si>
    <t>m³</t>
  </si>
  <si>
    <t>Herramienta menor (5%)</t>
  </si>
  <si>
    <t>mat</t>
  </si>
  <si>
    <t>%</t>
  </si>
  <si>
    <t>SUBTOTAL</t>
  </si>
  <si>
    <t>NSR-10 / Normas:</t>
  </si>
  <si>
    <t>NSR-10 A.8 — Supervisión técnica requerida. Res. 2400 seguridad en demolición.</t>
  </si>
  <si>
    <t>PREL-002 — Limpieza, nivelación y compactación de terreno | Unidad: m²</t>
  </si>
  <si>
    <t>Cuadrilla limpieza terreno</t>
  </si>
  <si>
    <t>Afirmado compactación</t>
  </si>
  <si>
    <t>Compactación mecanizada</t>
  </si>
  <si>
    <t>eq</t>
  </si>
  <si>
    <t>h/m²</t>
  </si>
  <si>
    <t>NSR-10 H — Estudio geotécnico previo obligatorio.</t>
  </si>
  <si>
    <t>PREL-003 — Campamento provisional, bodegas y oficinas | Unidad: glb</t>
  </si>
  <si>
    <t>Estructura prefab. 40 m² + piso</t>
  </si>
  <si>
    <t>glb</t>
  </si>
  <si>
    <t>Cubierta lámina galvanizada</t>
  </si>
  <si>
    <t>m²</t>
  </si>
  <si>
    <t>Servicios provisionales (luz, agua)</t>
  </si>
  <si>
    <t>mes</t>
  </si>
  <si>
    <t>Res. 2400 condiciones de higiene y seguridad en campamento.</t>
  </si>
  <si>
    <t>PREL-004 — Señalización y vallas de seguridad perimetral | Unidad: m</t>
  </si>
  <si>
    <t>Valla separadora con poste</t>
  </si>
  <si>
    <t>m</t>
  </si>
  <si>
    <t>Letrero de peligro y obra</t>
  </si>
  <si>
    <t>un</t>
  </si>
  <si>
    <t>Instalación (mano de obra)</t>
  </si>
  <si>
    <t>Decreto 1072 — SGSST obligatorio. Res. 0312 estándares mínimos.</t>
  </si>
  <si>
    <t>CAPÍTULO 2 — EXCAVACIÓN</t>
  </si>
  <si>
    <t>Excavación, entibado, bombeo, acarreo de material</t>
  </si>
  <si>
    <t>EXC-001 — Excavación estructural en tierra (sin clasificar) | Unidad: m³</t>
  </si>
  <si>
    <t>Cuadrilla excavación manual</t>
  </si>
  <si>
    <t>Retroexcavadora alquiler/uso</t>
  </si>
  <si>
    <t>h/m³</t>
  </si>
  <si>
    <t>Acarreo material escavado</t>
  </si>
  <si>
    <t>m³·km</t>
  </si>
  <si>
    <t>NSR-10 H — Taludes ≤ 45° sin entibar. Entibado si h&gt;1.5m, terreno inestable.</t>
  </si>
  <si>
    <t>EXC-002 — Excavación en roca (clasificada como roca) | Unidad: m³</t>
  </si>
  <si>
    <t>Barrenación y voladura</t>
  </si>
  <si>
    <t>Cuadrilla voladura + supervisión</t>
  </si>
  <si>
    <t>Equipo especializado</t>
  </si>
  <si>
    <t>h</t>
  </si>
  <si>
    <t>Res. 2400 — Trabajo en voladura: certificación requerida. Res. 1100 minas.</t>
  </si>
  <si>
    <t>EXC-003 — Entibado de excavación (estacas + tableros) | Unidad: m²</t>
  </si>
  <si>
    <t>Estacas de madera (durmiente 4x4)</t>
  </si>
  <si>
    <t>Tableros entibado 1x10" pino</t>
  </si>
  <si>
    <t>pie²</t>
  </si>
  <si>
    <t>Instalación entibado (mano obra)</t>
  </si>
  <si>
    <t>NSR-10 I — Supervisión técnica obligatoria. Talud estable h&lt;1.5m sin entibar.</t>
  </si>
  <si>
    <t>EXC-004 — Bombeo de agua excavación (sumergible) | Unidad: m³/día</t>
  </si>
  <si>
    <t>Bomba sumergible 2 HP alquiler</t>
  </si>
  <si>
    <t>día</t>
  </si>
  <si>
    <t>Manguera y accesorios</t>
  </si>
  <si>
    <t>Operario + mantenimiento</t>
  </si>
  <si>
    <t>NSR-10 H — Drenaje y bombeo según estudio geotécnico.</t>
  </si>
  <si>
    <t>CAPÍTULO 3 — CONCRETO ESTRUCTURAL</t>
  </si>
  <si>
    <t>Columnas, vigas, placas, zapatas — f'c 3000 PSI + acero G-60 DES</t>
  </si>
  <si>
    <t>CONC-001 — Columna 40×30 cm concreto f'c=21 MPa (3000 PSI) + encofrado | Unidad: m</t>
  </si>
  <si>
    <t>Concreto f'c 3000 PSI (premezclado)</t>
  </si>
  <si>
    <t>Acero corrugado G-60 3/8" + 1/2"</t>
  </si>
  <si>
    <t>kg</t>
  </si>
  <si>
    <t>Encofrado: tablero+poste+cuña</t>
  </si>
  <si>
    <t>Cuadrilla colocación+vibrado</t>
  </si>
  <si>
    <t>Herramienta menor</t>
  </si>
  <si>
    <t>NSR-10 C.21 — DES obligatorio zona Alta. Estribos 135° cada 100mm zona confinada.</t>
  </si>
  <si>
    <t>CONC-002 — Placa maciza entrepiso e=10 cm concreto 3000 PSI + malla | Unidad: m²</t>
  </si>
  <si>
    <t>Concreto f'c 3000 PSI</t>
  </si>
  <si>
    <t>Malla electrosoldada (4x4)</t>
  </si>
  <si>
    <t>Encofrado (tabla + apoyo)</t>
  </si>
  <si>
    <t>Cuadrilla colocación hormigón</t>
  </si>
  <si>
    <t>Vibrador gasolina alquiler</t>
  </si>
  <si>
    <t>NSR-10 C.9.5 — Deflexión máx L/360 carga viva. Curado 7 días mínimo.</t>
  </si>
  <si>
    <t>CONC-003 — Zapata aislada 1.20×1.20×0.60 m concreto 3000 PSI | Unidad: un</t>
  </si>
  <si>
    <t>Acero de refuerzo G-60</t>
  </si>
  <si>
    <t>Base nivelación (arena)</t>
  </si>
  <si>
    <t>Encofrado zapata</t>
  </si>
  <si>
    <t>Cuadrilla armado + colocación</t>
  </si>
  <si>
    <t>NSR-10 H — Cimentación: factor seguridad ≥3.0 capacidad portante.</t>
  </si>
  <si>
    <t>CAPÍTULO 4 — ACERO Y REFUERZO</t>
  </si>
  <si>
    <t>Varillas G-60, malla electrosoldada, perfiles estructurales</t>
  </si>
  <si>
    <t>ACER-001 — Barra corrugada G-60 3/8" (9.5 mm) figurada e instalada | Unidad: kg</t>
  </si>
  <si>
    <t>Barra corrugada G-60 3/8" (6 m)</t>
  </si>
  <si>
    <t>Corte y figurado</t>
  </si>
  <si>
    <t>Mano de obra colocación</t>
  </si>
  <si>
    <t>Alambre negro atar</t>
  </si>
  <si>
    <t>NSR-10 C.21 — G-60 fy=420 MPa obligatorio DES. Recubrimiento 40 mm zona interior.</t>
  </si>
  <si>
    <t>ACER-002 — Malla electrosoldada 6x6 4x4 colocada | Unidad: m²</t>
  </si>
  <si>
    <t>Malla electrosoldada (rollo 2.4×60m)</t>
  </si>
  <si>
    <t>Acarreo e instalación</t>
  </si>
  <si>
    <t>Alambre atar (fijación)</t>
  </si>
  <si>
    <t>NSR-10 C — Para losas entrepiso, placas aligeradas. Empalme ≥40 cm.</t>
  </si>
  <si>
    <t>ACER-003 — Perfil estructural IPE 200 laminado en caliente + soldadura | Unidad: kg</t>
  </si>
  <si>
    <t>Perfil IPE 200 A36 (por tablas)</t>
  </si>
  <si>
    <t>Electrodo E6010 + gases</t>
  </si>
  <si>
    <t>Soldador certificado</t>
  </si>
  <si>
    <t>Inspección radiográfica (5%)</t>
  </si>
  <si>
    <t>NSR-10 E — Soldadura AWS D1.1. Certificación soldador requerida.</t>
  </si>
  <si>
    <t>CAPÍTULO 5 — MAMPOSTERÍA ESTRUCTURAL</t>
  </si>
  <si>
    <t>Bloques, ladrillos, mortero, columnas y vigas de confinamiento</t>
  </si>
  <si>
    <t>MAMP-001 — Muro bloque de concreto estriado 9 cm (No.4) levantado | Unidad: m²</t>
  </si>
  <si>
    <t>Bloque estriado 33×9×23 cm</t>
  </si>
  <si>
    <t>Mortero 1:4 (cemento-arena)</t>
  </si>
  <si>
    <t>Cuadrilla levante mampostería</t>
  </si>
  <si>
    <t>NSR-10 D — Mampostería confinada: columnas + vigas confinamiento obligatorio zona Alta.</t>
  </si>
  <si>
    <t>MAMP-002 — Muro ladrillo macizo prensado 24×12×6 cm fachada | Unidad: m²</t>
  </si>
  <si>
    <t>Ladrillo macizo prensado</t>
  </si>
  <si>
    <t>Mortero 1:4 + cal (para fachada)</t>
  </si>
  <si>
    <t>Cuadrilla mampostero + ayudantes</t>
  </si>
  <si>
    <t>Equipo (andamio básico)</t>
  </si>
  <si>
    <t>NSR-10 D.3.6 — Mortero Tipo S (1:½:4.5) mínimo estructural.</t>
  </si>
  <si>
    <t>MAMP-003 — Columna confinamiento 20×12 cm concreto + acero | Unidad: m</t>
  </si>
  <si>
    <t>Acero refuerzo (4 × 3/8")</t>
  </si>
  <si>
    <t>Encofrado+cuña columna</t>
  </si>
  <si>
    <t>Cuadrilla instalación</t>
  </si>
  <si>
    <t>NSR-10 D.5 — Confinamiento obligatorio mampostería estructural.</t>
  </si>
  <si>
    <t>CAPÍTULO 6 — REDES HIDRÁULICAS Y SANITARIAS</t>
  </si>
  <si>
    <t>Tuberías agua fría, agua caliente, drenaje sanitario y pluvial</t>
  </si>
  <si>
    <t>HID-001 — Tubería PVC 2" (agua fría) instalada | Unidad: m</t>
  </si>
  <si>
    <t>Tubería PVC PAVCO 2"</t>
  </si>
  <si>
    <t>Accesorios (codos, tees, uniones)</t>
  </si>
  <si>
    <t>Mano de obra instalación</t>
  </si>
  <si>
    <t>Prueba hidrostática (5m/día)</t>
  </si>
  <si>
    <t>NTC 1500 — Presión de trabajo 10 bar mínimo agua fría.</t>
  </si>
  <si>
    <t>HID-002 — Tubería sanitaria PVC 4" drenaje instalada | Unidad: m</t>
  </si>
  <si>
    <t>Tubería sanitaria PVC 4"</t>
  </si>
  <si>
    <t>Accesorios (codos, tees, yees)</t>
  </si>
  <si>
    <t>Mano de obra</t>
  </si>
  <si>
    <t>Prueba de estanqueidad</t>
  </si>
  <si>
    <t>NTC 1087 — Tuberías sanitarias. Pendiente mínima 2% en drenaje.</t>
  </si>
  <si>
    <t>CAPÍTULO 7 — REDES ELÉCTRICAS</t>
  </si>
  <si>
    <t>Cableado, luminarias, circuitos 480V distribución y 120/240V uso</t>
  </si>
  <si>
    <t>ELEC-001 — Cable #12 AWG THWN-2 en canaleta instalado | Unidad: m</t>
  </si>
  <si>
    <t>Cable #12 AWG THWN-2</t>
  </si>
  <si>
    <t>Canaleta metálica 32 mm</t>
  </si>
  <si>
    <t>Instalación en canaleta</t>
  </si>
  <si>
    <t>Accesorios (clips, conectores)</t>
  </si>
  <si>
    <t>NTC 2050 — Instalaciones eléctricas domiciliarias.</t>
  </si>
  <si>
    <t>ELEC-002 — Luminaria LED 40W downlight 3000K empotrada | Unidad: un</t>
  </si>
  <si>
    <t>Fixture LED downlight 40W</t>
  </si>
  <si>
    <t>Caja de empotramiento</t>
  </si>
  <si>
    <t>Instalación eléctrica</t>
  </si>
  <si>
    <t>Sellado con marco</t>
  </si>
  <si>
    <t>NTC 370 — Iluminación. Eficiencia mínima clase A.</t>
  </si>
  <si>
    <t>CAPÍTULO 8 — CUBIERTAS E IMPERMEABILIZACIÓN</t>
  </si>
  <si>
    <t>Tejas, membranas, estructura de soporte acero/concreto</t>
  </si>
  <si>
    <t>CUB-001 — Cubierta teja cerámica colonial cocida | Unidad: m²</t>
  </si>
  <si>
    <t>Teja cerámica colonial</t>
  </si>
  <si>
    <t>Mortero 1:3 (fijación)</t>
  </si>
  <si>
    <t>Cuadrilla colocación</t>
  </si>
  <si>
    <t>Andamio temporal</t>
  </si>
  <si>
    <t>NTC 413 — Tejas de barro cocido. Pendiente mínima 30%.</t>
  </si>
  <si>
    <t>CUB-002 — Cubierta membrana asfáltica impermeabilización | Unidad: m²</t>
  </si>
  <si>
    <t>Membrana asfáltica APP 4 mm</t>
  </si>
  <si>
    <t>Asfalto para base</t>
  </si>
  <si>
    <t>Mano de obra aplicación</t>
  </si>
  <si>
    <t>Equipo (soplete + herramientas)</t>
  </si>
  <si>
    <t>NTC 5473 — Membranas asfálticas. Impermeabilización garantizada 10 años.</t>
  </si>
  <si>
    <t>CUB-003 — Estructura soporte cubierta (viguetas + polines metálicos) | Unidad: m²</t>
  </si>
  <si>
    <t>Polines metálicos C 150 (espaciado 1.2m)</t>
  </si>
  <si>
    <t>Viguetas IPE 180 (espaciado 2.4m)</t>
  </si>
  <si>
    <t>Conexiones soldadas</t>
  </si>
  <si>
    <t>Montaje + soldadura</t>
  </si>
  <si>
    <t>NSR-10 E — Estructuras metálicas: diseño por LRFD, acero A36 mínimo.</t>
  </si>
  <si>
    <t>ANÁLISIS DE SENSIBILIDAD Y COMPARATIVA CIUDADES</t>
  </si>
  <si>
    <t>Variación de precios ±15% por ciudad factor construdata</t>
  </si>
  <si>
    <t>Capítulo</t>
  </si>
  <si>
    <t>Mín (Barr.)</t>
  </si>
  <si>
    <t>Máx (Cart.)</t>
  </si>
  <si>
    <t>Rango %</t>
  </si>
  <si>
    <t>Preliminares</t>
  </si>
  <si>
    <t>Excavación</t>
  </si>
  <si>
    <t>Concreto</t>
  </si>
  <si>
    <t>Acero</t>
  </si>
  <si>
    <t>Mampostería</t>
  </si>
  <si>
    <t>Redes Hid.</t>
  </si>
  <si>
    <t>Redes Elec.</t>
  </si>
  <si>
    <t>Cubierta</t>
  </si>
  <si>
    <t>RESUMEN VARIACIÓN PRECIOS ENTRE CIUDADES</t>
  </si>
  <si>
    <t>Barranquilla (menor costo)</t>
  </si>
  <si>
    <t>Cartagena (mayor costo)</t>
  </si>
  <si>
    <t>Rango total</t>
  </si>
  <si>
    <t>Factor promedio</t>
  </si>
  <si>
    <t>ANÁLISIS DE INCERTIDUMBRE (±15% VARIACIÓN)</t>
  </si>
  <si>
    <t>Valor base COP</t>
  </si>
  <si>
    <t>Mínimo (85%)</t>
  </si>
  <si>
    <t>Máximo (115%)</t>
  </si>
  <si>
    <t>Rango COP</t>
  </si>
  <si>
    <t>% incertidumbre</t>
  </si>
  <si>
    <t>Redes Hidráulicas</t>
  </si>
  <si>
    <t>Redes Eléctricas</t>
  </si>
  <si>
    <t>COSTO TOTAL PROYECTO</t>
  </si>
  <si>
    <t>NOTAS METODOLOGÍA</t>
  </si>
  <si>
    <t>• Incertidumbre ±15% = variación de materiales ±10% + variación rendimiento/MO ±5%</t>
  </si>
  <si>
    <t>• Mínimo (85%) = escenario con proveedores eficientes y buena productividad</t>
  </si>
  <si>
    <t>• Máximo (115%) = escenario con precios pico y baja productividad/reprocesos</t>
  </si>
  <si>
    <t>• Factores ciudad Construdata Ed.187 ajustados con IPC 2026 (4.5% acumulado)</t>
  </si>
  <si>
    <t>• Rendimientos certificados NSR-10 DES (zona Alta/Intermedia) — zona Baja: -5%</t>
  </si>
  <si>
    <t>• Fuente datos: Construdata 187, Construware, proveedores locales, experiencia campo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</si>
</sst>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"/>
    <numFmt numFmtId="165" formatCode="0.0%"/>
  </numFmts>
  <fonts count="18">
    <font>
      <sz val="11.0"/>
      <color theme="1"/>
      <name val="Calibri"/>
      <scheme val="minor"/>
    </font>
    <font>
      <sz val="11.0"/>
      <color theme="1"/>
      <name val="Calibri"/>
    </font>
    <font>
      <b/>
      <sz val="13.0"/>
      <color rgb="FFFFFFFF"/>
      <name val="Arial"/>
    </font>
    <font/>
    <font>
      <b/>
      <sz val="10.0"/>
      <color rgb="FF00008B"/>
      <name val="Arial"/>
    </font>
    <font>
      <sz val="10.0"/>
      <color theme="1"/>
      <name val="Arial"/>
    </font>
    <font>
      <b/>
      <sz val="9.0"/>
      <color theme="1"/>
      <name val="Arial"/>
    </font>
    <font>
      <sz val="9.0"/>
      <color theme="1"/>
      <name val="Arial"/>
    </font>
    <font>
      <b/>
      <sz val="10.0"/>
      <color rgb="FFFFFFFF"/>
      <name val="Arial"/>
    </font>
    <font>
      <sz val="10.0"/>
      <color rgb="FF00008B"/>
      <name val="Arial"/>
    </font>
    <font>
      <b/>
      <sz val="10.0"/>
      <color rgb="FF000000"/>
      <name val="Arial"/>
    </font>
    <font>
      <i/>
      <sz val="8.0"/>
      <color rgb="FF666666"/>
      <name val="Arial"/>
    </font>
    <font>
      <sz val="10.0"/>
      <color rgb="FF000000"/>
      <name val="Arial"/>
    </font>
    <font>
      <b/>
      <sz val="9.0"/>
      <color rgb="FF00008B"/>
      <name val="Arial"/>
    </font>
    <font>
      <i/>
      <sz val="9.0"/>
      <color rgb="FF666666"/>
      <name val="Arial"/>
    </font>
    <font>
      <b/>
      <sz val="11.0"/>
      <color rgb="FFFFFFFF"/>
      <name val="Arial"/>
    </font>
    <font>
      <b/>
      <sz val="11.0"/>
      <color theme="1"/>
      <name val="Arial"/>
    </font>
    <font>
      <b/>
      <sz val="10.0"/>
      <color rgb="FF1F4788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1F4788"/>
        <bgColor rgb="FF1F4788"/>
      </patternFill>
    </fill>
    <fill>
      <patternFill patternType="solid">
        <fgColor rgb="FF2E5C8A"/>
        <bgColor rgb="FF2E5C8A"/>
      </patternFill>
    </fill>
    <fill>
      <patternFill patternType="solid">
        <fgColor rgb="FF4A7BA7"/>
        <bgColor rgb="FF4A7BA7"/>
      </patternFill>
    </fill>
    <fill>
      <patternFill patternType="solid">
        <fgColor rgb="FFE8F1F9"/>
        <bgColor rgb="FFE8F1F9"/>
      </patternFill>
    </fill>
    <fill>
      <patternFill patternType="solid">
        <fgColor rgb="FFFFFFFF"/>
        <bgColor rgb="FFFFFFFF"/>
      </patternFill>
    </fill>
    <fill>
      <patternFill patternType="solid">
        <fgColor rgb="FF3B7BA9"/>
        <bgColor rgb="FF3B7BA9"/>
      </patternFill>
    </fill>
    <fill>
      <patternFill patternType="solid">
        <fgColor rgb="FFC6E0B4"/>
        <bgColor rgb="FFC6E0B4"/>
      </patternFill>
    </fill>
    <fill>
      <patternFill patternType="solid">
        <fgColor rgb="FFFFE699"/>
        <bgColor rgb="FFFFE699"/>
      </patternFill>
    </fill>
    <fill>
      <patternFill patternType="solid">
        <fgColor rgb="FFE2EFDA"/>
        <bgColor rgb="FFE2EFDA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medium">
        <color rgb="FF000000"/>
      </right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horizontal="center" shrinkToFit="0" vertical="center" wrapText="0"/>
    </xf>
    <xf borderId="2" fillId="0" fontId="3" numFmtId="0" xfId="0" applyBorder="1" applyFont="1"/>
    <xf borderId="3" fillId="0" fontId="3" numFmtId="0" xfId="0" applyBorder="1" applyFont="1"/>
    <xf borderId="1" fillId="3" fontId="2" numFmtId="0" xfId="0" applyAlignment="1" applyBorder="1" applyFill="1" applyFont="1">
      <alignment horizontal="center" shrinkToFit="0" vertical="center" wrapText="0"/>
    </xf>
    <xf borderId="0" fillId="0" fontId="4" numFmtId="0" xfId="0" applyAlignment="1" applyFont="1">
      <alignment horizontal="right" shrinkToFit="0" vertical="bottom" wrapText="0"/>
    </xf>
    <xf borderId="0" fillId="0" fontId="5" numFmtId="0" xfId="0" applyAlignment="1" applyFont="1">
      <alignment shrinkToFit="0" vertical="bottom" wrapText="0"/>
    </xf>
    <xf borderId="1" fillId="4" fontId="2" numFmtId="0" xfId="0" applyAlignment="1" applyBorder="1" applyFill="1" applyFont="1">
      <alignment horizontal="center" shrinkToFit="0" vertical="center" wrapText="0"/>
    </xf>
    <xf borderId="1" fillId="5" fontId="6" numFmtId="0" xfId="0" applyAlignment="1" applyBorder="1" applyFill="1" applyFont="1">
      <alignment horizontal="center" shrinkToFit="0" vertical="center" wrapText="0"/>
    </xf>
    <xf borderId="0" fillId="0" fontId="7" numFmtId="0" xfId="0" applyAlignment="1" applyFont="1">
      <alignment shrinkToFit="0" vertical="bottom" wrapText="0"/>
    </xf>
    <xf borderId="4" fillId="4" fontId="8" numFmtId="0" xfId="0" applyAlignment="1" applyBorder="1" applyFont="1">
      <alignment horizontal="center" shrinkToFit="0" vertical="center" wrapText="1"/>
    </xf>
    <xf borderId="4" fillId="5" fontId="9" numFmtId="0" xfId="0" applyAlignment="1" applyBorder="1" applyFont="1">
      <alignment horizontal="center" shrinkToFit="0" vertical="center" wrapText="0"/>
    </xf>
    <xf borderId="4" fillId="5" fontId="9" numFmtId="1" xfId="0" applyAlignment="1" applyBorder="1" applyFont="1" applyNumberFormat="1">
      <alignment horizontal="center" shrinkToFit="0" vertical="center" wrapText="0"/>
    </xf>
    <xf borderId="4" fillId="5" fontId="9" numFmtId="2" xfId="0" applyAlignment="1" applyBorder="1" applyFont="1" applyNumberFormat="1">
      <alignment horizontal="center" shrinkToFit="0" vertical="center" wrapText="0"/>
    </xf>
    <xf borderId="4" fillId="5" fontId="9" numFmtId="164" xfId="0" applyAlignment="1" applyBorder="1" applyFont="1" applyNumberFormat="1">
      <alignment horizontal="center" shrinkToFit="0" vertical="center" wrapText="0"/>
    </xf>
    <xf borderId="4" fillId="6" fontId="10" numFmtId="164" xfId="0" applyAlignment="1" applyBorder="1" applyFill="1" applyFont="1" applyNumberFormat="1">
      <alignment horizontal="center" shrinkToFit="0" vertical="center" wrapText="0"/>
    </xf>
    <xf borderId="0" fillId="0" fontId="7" numFmtId="0" xfId="0" applyAlignment="1" applyFont="1">
      <alignment horizontal="left" shrinkToFit="0" vertical="bottom" wrapText="1"/>
    </xf>
    <xf borderId="0" fillId="0" fontId="11" numFmtId="0" xfId="0" applyAlignment="1" applyFont="1">
      <alignment shrinkToFit="0" vertical="bottom" wrapText="0"/>
    </xf>
    <xf borderId="4" fillId="7" fontId="8" numFmtId="0" xfId="0" applyAlignment="1" applyBorder="1" applyFill="1" applyFont="1">
      <alignment horizontal="center" shrinkToFit="0" vertical="center" wrapText="1"/>
    </xf>
    <xf borderId="4" fillId="5" fontId="9" numFmtId="3" xfId="0" applyAlignment="1" applyBorder="1" applyFont="1" applyNumberFormat="1">
      <alignment horizontal="center" shrinkToFit="0" vertical="center" wrapText="0"/>
    </xf>
    <xf borderId="4" fillId="6" fontId="12" numFmtId="3" xfId="0" applyAlignment="1" applyBorder="1" applyFont="1" applyNumberFormat="1">
      <alignment horizontal="center" shrinkToFit="0" vertical="center" wrapText="0"/>
    </xf>
    <xf borderId="4" fillId="5" fontId="9" numFmtId="165" xfId="0" applyAlignment="1" applyBorder="1" applyFont="1" applyNumberFormat="1">
      <alignment horizontal="center" shrinkToFit="0" vertical="center" wrapText="0"/>
    </xf>
    <xf borderId="4" fillId="6" fontId="10" numFmtId="3" xfId="0" applyAlignment="1" applyBorder="1" applyFont="1" applyNumberFormat="1">
      <alignment horizontal="center" shrinkToFit="0" vertical="center" wrapText="0"/>
    </xf>
    <xf borderId="1" fillId="2" fontId="8" numFmtId="0" xfId="0" applyAlignment="1" applyBorder="1" applyFont="1">
      <alignment shrinkToFit="0" vertical="bottom" wrapText="0"/>
    </xf>
    <xf borderId="0" fillId="0" fontId="13" numFmtId="0" xfId="0" applyAlignment="1" applyFont="1">
      <alignment shrinkToFit="0" vertical="bottom" wrapText="0"/>
    </xf>
    <xf borderId="0" fillId="0" fontId="14" numFmtId="0" xfId="0" applyAlignment="1" applyFont="1">
      <alignment shrinkToFit="0" vertical="bottom" wrapText="0"/>
    </xf>
    <xf borderId="0" fillId="0" fontId="6" numFmtId="0" xfId="0" applyAlignment="1" applyFont="1">
      <alignment horizontal="left" shrinkToFit="0" vertical="bottom" wrapText="0"/>
    </xf>
    <xf borderId="4" fillId="6" fontId="10" numFmtId="165" xfId="0" applyAlignment="1" applyBorder="1" applyFont="1" applyNumberFormat="1">
      <alignment horizontal="center" shrinkToFit="0" vertical="center" wrapText="0"/>
    </xf>
    <xf borderId="0" fillId="0" fontId="6" numFmtId="0" xfId="0" applyAlignment="1" applyFont="1">
      <alignment shrinkToFit="0" vertical="bottom" wrapText="0"/>
    </xf>
    <xf borderId="4" fillId="6" fontId="12" numFmtId="165" xfId="0" applyAlignment="1" applyBorder="1" applyFont="1" applyNumberFormat="1">
      <alignment horizontal="center" shrinkToFit="0" vertical="center" wrapText="0"/>
    </xf>
    <xf borderId="4" fillId="6" fontId="12" numFmtId="164" xfId="0" applyAlignment="1" applyBorder="1" applyFont="1" applyNumberFormat="1">
      <alignment horizontal="center" shrinkToFit="0" vertical="center" wrapText="0"/>
    </xf>
    <xf borderId="1" fillId="2" fontId="15" numFmtId="0" xfId="0" applyAlignment="1" applyBorder="1" applyFont="1">
      <alignment shrinkToFit="0" vertical="bottom" wrapText="0"/>
    </xf>
    <xf borderId="5" fillId="3" fontId="8" numFmtId="0" xfId="0" applyAlignment="1" applyBorder="1" applyFont="1">
      <alignment horizontal="center" shrinkToFit="0" vertical="center" wrapText="0"/>
    </xf>
    <xf borderId="6" fillId="0" fontId="5" numFmtId="0" xfId="0" applyAlignment="1" applyBorder="1" applyFont="1">
      <alignment shrinkToFit="0" vertical="bottom" wrapText="0"/>
    </xf>
    <xf borderId="6" fillId="0" fontId="1" numFmtId="3" xfId="0" applyAlignment="1" applyBorder="1" applyFont="1" applyNumberFormat="1">
      <alignment shrinkToFit="0" vertical="bottom" wrapText="0"/>
    </xf>
    <xf borderId="7" fillId="8" fontId="1" numFmtId="3" xfId="0" applyAlignment="1" applyBorder="1" applyFill="1" applyFont="1" applyNumberFormat="1">
      <alignment shrinkToFit="0" vertical="bottom" wrapText="0"/>
    </xf>
    <xf borderId="7" fillId="9" fontId="1" numFmtId="3" xfId="0" applyAlignment="1" applyBorder="1" applyFill="1" applyFont="1" applyNumberFormat="1">
      <alignment shrinkToFit="0" vertical="bottom" wrapText="0"/>
    </xf>
    <xf borderId="8" fillId="0" fontId="1" numFmtId="165" xfId="0" applyAlignment="1" applyBorder="1" applyFont="1" applyNumberFormat="1">
      <alignment shrinkToFit="0" vertical="bottom" wrapText="0"/>
    </xf>
    <xf borderId="9" fillId="2" fontId="15" numFmtId="0" xfId="0" applyAlignment="1" applyBorder="1" applyFont="1">
      <alignment shrinkToFit="0" vertical="bottom" wrapText="0"/>
    </xf>
    <xf borderId="9" fillId="10" fontId="16" numFmtId="3" xfId="0" applyAlignment="1" applyBorder="1" applyFill="1" applyFont="1" applyNumberFormat="1">
      <alignment shrinkToFit="0" vertical="bottom" wrapText="0"/>
    </xf>
    <xf borderId="9" fillId="9" fontId="16" numFmtId="3" xfId="0" applyAlignment="1" applyBorder="1" applyFont="1" applyNumberFormat="1">
      <alignment shrinkToFit="0" vertical="bottom" wrapText="0"/>
    </xf>
    <xf borderId="0" fillId="0" fontId="17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3" width="12.0"/>
    <col customWidth="1" min="14" max="26" width="8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34.5" customHeight="1">
      <c r="A2" s="1"/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4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ht="15.75" customHeight="1">
      <c r="A4" s="1"/>
      <c r="B4" s="5" t="s">
        <v>1</v>
      </c>
      <c r="C4" s="3"/>
      <c r="D4" s="3"/>
      <c r="E4" s="3"/>
      <c r="F4" s="3"/>
      <c r="G4" s="3"/>
      <c r="H4" s="3"/>
      <c r="I4" s="3"/>
      <c r="J4" s="3"/>
      <c r="K4" s="3"/>
      <c r="L4" s="3"/>
      <c r="M4" s="4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ht="18.0" customHeight="1">
      <c r="A6" s="1"/>
      <c r="B6" s="6" t="s">
        <v>2</v>
      </c>
      <c r="D6" s="7" t="s">
        <v>3</v>
      </c>
    </row>
    <row r="7" ht="18.0" customHeight="1">
      <c r="A7" s="1"/>
      <c r="B7" s="6" t="s">
        <v>4</v>
      </c>
      <c r="D7" s="7" t="s">
        <v>5</v>
      </c>
    </row>
    <row r="8" ht="18.0" customHeight="1">
      <c r="A8" s="1"/>
      <c r="B8" s="6" t="s">
        <v>6</v>
      </c>
      <c r="D8" s="7" t="s">
        <v>7</v>
      </c>
    </row>
    <row r="9" ht="18.0" customHeight="1">
      <c r="A9" s="1"/>
      <c r="B9" s="6" t="s">
        <v>8</v>
      </c>
      <c r="D9" s="7" t="s">
        <v>9</v>
      </c>
    </row>
    <row r="10" ht="18.0" customHeight="1">
      <c r="A10" s="1"/>
      <c r="B10" s="6" t="s">
        <v>10</v>
      </c>
      <c r="D10" s="7" t="s">
        <v>11</v>
      </c>
    </row>
    <row r="11" ht="18.0" customHeight="1">
      <c r="A11" s="1"/>
      <c r="B11" s="6" t="s">
        <v>12</v>
      </c>
      <c r="D11" s="7" t="s">
        <v>13</v>
      </c>
    </row>
    <row r="12" ht="18.0" customHeight="1">
      <c r="A12" s="1"/>
      <c r="B12" s="6" t="s">
        <v>14</v>
      </c>
      <c r="D12" s="7" t="s">
        <v>15</v>
      </c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ht="19.5" customHeight="1">
      <c r="A14" s="1"/>
      <c r="B14" s="8" t="s">
        <v>16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4"/>
    </row>
    <row r="15" ht="15.75" customHeight="1">
      <c r="A15" s="1"/>
      <c r="B15" s="9" t="s">
        <v>17</v>
      </c>
      <c r="C15" s="4"/>
      <c r="D15" s="10" t="s">
        <v>18</v>
      </c>
    </row>
    <row r="16" ht="15.75" customHeight="1">
      <c r="A16" s="1"/>
      <c r="B16" s="9" t="s">
        <v>19</v>
      </c>
      <c r="C16" s="4"/>
      <c r="D16" s="10" t="s">
        <v>20</v>
      </c>
    </row>
    <row r="17" ht="15.75" customHeight="1">
      <c r="A17" s="1"/>
      <c r="B17" s="9" t="s">
        <v>21</v>
      </c>
      <c r="C17" s="4"/>
      <c r="D17" s="10" t="s">
        <v>22</v>
      </c>
    </row>
    <row r="18" ht="15.75" customHeight="1">
      <c r="A18" s="1"/>
      <c r="B18" s="9" t="s">
        <v>23</v>
      </c>
      <c r="C18" s="4"/>
      <c r="D18" s="10" t="s">
        <v>24</v>
      </c>
    </row>
    <row r="19" ht="15.75" customHeight="1">
      <c r="A19" s="1"/>
      <c r="B19" s="9" t="s">
        <v>25</v>
      </c>
      <c r="C19" s="4"/>
      <c r="D19" s="10" t="s">
        <v>26</v>
      </c>
    </row>
    <row r="20" ht="15.75" customHeight="1">
      <c r="A20" s="1"/>
      <c r="B20" s="9" t="s">
        <v>27</v>
      </c>
      <c r="C20" s="4"/>
      <c r="D20" s="10" t="s">
        <v>28</v>
      </c>
    </row>
    <row r="21" ht="15.75" customHeight="1">
      <c r="A21" s="1"/>
      <c r="B21" s="9" t="s">
        <v>29</v>
      </c>
      <c r="C21" s="4"/>
      <c r="D21" s="10" t="s">
        <v>30</v>
      </c>
    </row>
    <row r="22" ht="15.75" customHeight="1">
      <c r="A22" s="1"/>
      <c r="B22" s="9" t="s">
        <v>31</v>
      </c>
      <c r="C22" s="4"/>
      <c r="D22" s="10" t="s">
        <v>32</v>
      </c>
    </row>
    <row r="23" ht="15.75" customHeight="1">
      <c r="A23" s="1"/>
      <c r="B23" s="9" t="s">
        <v>33</v>
      </c>
      <c r="C23" s="4"/>
      <c r="D23" s="10" t="s">
        <v>34</v>
      </c>
    </row>
    <row r="24" ht="15.75" customHeight="1">
      <c r="A24" s="1"/>
      <c r="B24" s="9" t="s">
        <v>35</v>
      </c>
      <c r="C24" s="4"/>
      <c r="D24" s="10" t="s">
        <v>36</v>
      </c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ht="18.0" customHeight="1">
      <c r="A26" s="1"/>
      <c r="B26" s="8" t="s">
        <v>37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4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</row>
  </sheetData>
  <mergeCells count="38">
    <mergeCell ref="B2:M2"/>
    <mergeCell ref="B4:M4"/>
    <mergeCell ref="B6:C6"/>
    <mergeCell ref="D6:M6"/>
    <mergeCell ref="B7:C7"/>
    <mergeCell ref="D7:M7"/>
    <mergeCell ref="D8:M8"/>
    <mergeCell ref="B17:C17"/>
    <mergeCell ref="B18:C18"/>
    <mergeCell ref="B19:C19"/>
    <mergeCell ref="B20:C20"/>
    <mergeCell ref="B21:C21"/>
    <mergeCell ref="B22:C22"/>
    <mergeCell ref="B23:C23"/>
    <mergeCell ref="B24:C24"/>
    <mergeCell ref="B8:C8"/>
    <mergeCell ref="B9:C9"/>
    <mergeCell ref="B10:C10"/>
    <mergeCell ref="B11:C11"/>
    <mergeCell ref="B12:C12"/>
    <mergeCell ref="B15:C15"/>
    <mergeCell ref="B16:C16"/>
    <mergeCell ref="D9:M9"/>
    <mergeCell ref="D10:M10"/>
    <mergeCell ref="D11:M11"/>
    <mergeCell ref="D12:M12"/>
    <mergeCell ref="B14:M14"/>
    <mergeCell ref="D15:M15"/>
    <mergeCell ref="D16:M16"/>
    <mergeCell ref="D24:M24"/>
    <mergeCell ref="B26:M26"/>
    <mergeCell ref="D17:M17"/>
    <mergeCell ref="D18:M18"/>
    <mergeCell ref="D19:M19"/>
    <mergeCell ref="D20:M20"/>
    <mergeCell ref="D21:M21"/>
    <mergeCell ref="D22:M22"/>
    <mergeCell ref="D23:M23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9" width="13.0"/>
    <col customWidth="1" min="10" max="10" width="19.71"/>
    <col customWidth="1" min="11" max="12" width="13.0"/>
    <col customWidth="1" min="13" max="26" width="8.71"/>
  </cols>
  <sheetData>
    <row r="1" ht="24.75" customHeight="1">
      <c r="A1" s="2" t="s">
        <v>38</v>
      </c>
      <c r="B1" s="3"/>
      <c r="C1" s="3"/>
      <c r="D1" s="3"/>
      <c r="E1" s="3"/>
      <c r="F1" s="3"/>
      <c r="G1" s="3"/>
      <c r="H1" s="3"/>
      <c r="I1" s="3"/>
      <c r="J1" s="3"/>
      <c r="K1" s="3"/>
      <c r="L1" s="4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ht="23.25" customHeight="1">
      <c r="A3" s="11" t="s">
        <v>39</v>
      </c>
      <c r="B3" s="11" t="s">
        <v>40</v>
      </c>
      <c r="C3" s="11" t="s">
        <v>41</v>
      </c>
      <c r="D3" s="11" t="s">
        <v>42</v>
      </c>
      <c r="E3" s="11" t="s">
        <v>43</v>
      </c>
      <c r="F3" s="11" t="s">
        <v>44</v>
      </c>
      <c r="G3" s="11" t="s">
        <v>45</v>
      </c>
      <c r="H3" s="11" t="s">
        <v>46</v>
      </c>
      <c r="I3" s="11" t="s">
        <v>47</v>
      </c>
      <c r="J3" s="11" t="s">
        <v>48</v>
      </c>
      <c r="K3" s="11" t="s">
        <v>49</v>
      </c>
      <c r="L3" s="11"/>
    </row>
    <row r="4" ht="18.0" customHeight="1">
      <c r="A4" s="12" t="s">
        <v>50</v>
      </c>
      <c r="B4" s="12" t="s">
        <v>51</v>
      </c>
      <c r="C4" s="13">
        <v>2640.0</v>
      </c>
      <c r="D4" s="14">
        <v>0.25</v>
      </c>
      <c r="E4" s="12" t="s">
        <v>52</v>
      </c>
      <c r="F4" s="14">
        <v>1.0</v>
      </c>
      <c r="G4" s="14">
        <v>1.03</v>
      </c>
      <c r="H4" s="15">
        <v>1.045</v>
      </c>
      <c r="I4" s="16">
        <f t="shared" ref="I4:I11" si="1">F4*G4*H4</f>
        <v>1.07635</v>
      </c>
      <c r="J4" s="12" t="s">
        <v>53</v>
      </c>
      <c r="K4" s="12" t="s">
        <v>54</v>
      </c>
      <c r="L4" s="12"/>
    </row>
    <row r="5" ht="18.0" customHeight="1">
      <c r="A5" s="12" t="s">
        <v>55</v>
      </c>
      <c r="B5" s="12" t="s">
        <v>56</v>
      </c>
      <c r="C5" s="13">
        <v>1495.0</v>
      </c>
      <c r="D5" s="14">
        <v>0.25</v>
      </c>
      <c r="E5" s="12" t="s">
        <v>52</v>
      </c>
      <c r="F5" s="14">
        <v>1.03</v>
      </c>
      <c r="G5" s="14">
        <v>1.0</v>
      </c>
      <c r="H5" s="15">
        <v>1.045</v>
      </c>
      <c r="I5" s="16">
        <f t="shared" si="1"/>
        <v>1.07635</v>
      </c>
      <c r="J5" s="12" t="s">
        <v>53</v>
      </c>
      <c r="K5" s="12" t="s">
        <v>54</v>
      </c>
      <c r="L5" s="12"/>
    </row>
    <row r="6" ht="18.0" customHeight="1">
      <c r="A6" s="12" t="s">
        <v>57</v>
      </c>
      <c r="B6" s="12" t="s">
        <v>58</v>
      </c>
      <c r="C6" s="13">
        <v>995.0</v>
      </c>
      <c r="D6" s="14">
        <v>0.25</v>
      </c>
      <c r="E6" s="12" t="s">
        <v>52</v>
      </c>
      <c r="F6" s="14">
        <v>1.08</v>
      </c>
      <c r="G6" s="14">
        <v>1.0</v>
      </c>
      <c r="H6" s="15">
        <v>1.045</v>
      </c>
      <c r="I6" s="16">
        <f t="shared" si="1"/>
        <v>1.1286</v>
      </c>
      <c r="J6" s="12" t="s">
        <v>53</v>
      </c>
      <c r="K6" s="12" t="s">
        <v>54</v>
      </c>
      <c r="L6" s="12"/>
    </row>
    <row r="7" ht="18.0" customHeight="1">
      <c r="A7" s="12" t="s">
        <v>59</v>
      </c>
      <c r="B7" s="12" t="s">
        <v>60</v>
      </c>
      <c r="C7" s="13">
        <v>5.0</v>
      </c>
      <c r="D7" s="14">
        <v>0.15</v>
      </c>
      <c r="E7" s="12" t="s">
        <v>61</v>
      </c>
      <c r="F7" s="14">
        <v>1.12</v>
      </c>
      <c r="G7" s="14">
        <v>1.05</v>
      </c>
      <c r="H7" s="15">
        <v>1.045</v>
      </c>
      <c r="I7" s="16">
        <f t="shared" si="1"/>
        <v>1.22892</v>
      </c>
      <c r="J7" s="12" t="s">
        <v>53</v>
      </c>
      <c r="K7" s="12" t="s">
        <v>54</v>
      </c>
      <c r="L7" s="12"/>
    </row>
    <row r="8" ht="18.0" customHeight="1">
      <c r="A8" s="12" t="s">
        <v>62</v>
      </c>
      <c r="B8" s="12" t="s">
        <v>63</v>
      </c>
      <c r="C8" s="13">
        <v>1038.0</v>
      </c>
      <c r="D8" s="14">
        <v>0.2</v>
      </c>
      <c r="E8" s="12" t="s">
        <v>61</v>
      </c>
      <c r="F8" s="14">
        <v>0.98</v>
      </c>
      <c r="G8" s="14">
        <v>1.0</v>
      </c>
      <c r="H8" s="15">
        <v>1.045</v>
      </c>
      <c r="I8" s="16">
        <f t="shared" si="1"/>
        <v>1.0241</v>
      </c>
      <c r="J8" s="12" t="s">
        <v>53</v>
      </c>
      <c r="K8" s="12" t="s">
        <v>54</v>
      </c>
      <c r="L8" s="12"/>
    </row>
    <row r="9" ht="18.0" customHeight="1">
      <c r="A9" s="12" t="s">
        <v>64</v>
      </c>
      <c r="B9" s="12" t="s">
        <v>65</v>
      </c>
      <c r="C9" s="13">
        <v>2782.0</v>
      </c>
      <c r="D9" s="14">
        <v>0.25</v>
      </c>
      <c r="E9" s="12" t="s">
        <v>52</v>
      </c>
      <c r="F9" s="14">
        <v>1.1</v>
      </c>
      <c r="G9" s="14">
        <v>1.03</v>
      </c>
      <c r="H9" s="15">
        <v>1.045</v>
      </c>
      <c r="I9" s="16">
        <f t="shared" si="1"/>
        <v>1.183985</v>
      </c>
      <c r="J9" s="12" t="s">
        <v>53</v>
      </c>
      <c r="K9" s="12" t="s">
        <v>54</v>
      </c>
      <c r="L9" s="12"/>
    </row>
    <row r="10" ht="18.0" customHeight="1">
      <c r="A10" s="12" t="s">
        <v>66</v>
      </c>
      <c r="B10" s="12" t="s">
        <v>67</v>
      </c>
      <c r="C10" s="13">
        <v>1411.0</v>
      </c>
      <c r="D10" s="14">
        <v>0.25</v>
      </c>
      <c r="E10" s="12" t="s">
        <v>52</v>
      </c>
      <c r="F10" s="14">
        <v>1.06</v>
      </c>
      <c r="G10" s="14">
        <v>1.0</v>
      </c>
      <c r="H10" s="15">
        <v>1.045</v>
      </c>
      <c r="I10" s="16">
        <f t="shared" si="1"/>
        <v>1.1077</v>
      </c>
      <c r="J10" s="12" t="s">
        <v>53</v>
      </c>
      <c r="K10" s="12" t="s">
        <v>54</v>
      </c>
      <c r="L10" s="12"/>
    </row>
    <row r="11" ht="18.0" customHeight="1">
      <c r="A11" s="12" t="s">
        <v>68</v>
      </c>
      <c r="B11" s="12" t="s">
        <v>69</v>
      </c>
      <c r="C11" s="13">
        <v>3.0</v>
      </c>
      <c r="D11" s="14">
        <v>0.12</v>
      </c>
      <c r="E11" s="12" t="s">
        <v>70</v>
      </c>
      <c r="F11" s="14">
        <v>1.15</v>
      </c>
      <c r="G11" s="14">
        <v>1.05</v>
      </c>
      <c r="H11" s="15">
        <v>1.045</v>
      </c>
      <c r="I11" s="16">
        <f t="shared" si="1"/>
        <v>1.2618375</v>
      </c>
      <c r="J11" s="12" t="s">
        <v>53</v>
      </c>
      <c r="K11" s="12" t="s">
        <v>54</v>
      </c>
      <c r="L11" s="12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ht="19.5" customHeight="1">
      <c r="A13" s="8" t="s">
        <v>71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4"/>
    </row>
    <row r="14" ht="15.75" customHeight="1">
      <c r="A14" s="17" t="s">
        <v>72</v>
      </c>
      <c r="C14" s="12" t="s">
        <v>73</v>
      </c>
      <c r="D14" s="12" t="s">
        <v>74</v>
      </c>
      <c r="E14" s="18" t="s">
        <v>75</v>
      </c>
    </row>
    <row r="15" ht="15.75" customHeight="1">
      <c r="A15" s="17" t="s">
        <v>76</v>
      </c>
      <c r="C15" s="12" t="s">
        <v>77</v>
      </c>
      <c r="D15" s="12" t="s">
        <v>74</v>
      </c>
      <c r="E15" s="18" t="s">
        <v>78</v>
      </c>
    </row>
    <row r="16" ht="15.75" customHeight="1">
      <c r="A16" s="17" t="s">
        <v>79</v>
      </c>
      <c r="C16" s="12" t="s">
        <v>80</v>
      </c>
      <c r="D16" s="12" t="s">
        <v>81</v>
      </c>
      <c r="E16" s="18" t="s">
        <v>82</v>
      </c>
    </row>
    <row r="17" ht="15.75" customHeight="1">
      <c r="A17" s="17" t="s">
        <v>83</v>
      </c>
      <c r="C17" s="12" t="s">
        <v>84</v>
      </c>
      <c r="D17" s="12" t="s">
        <v>85</v>
      </c>
      <c r="E17" s="18" t="s">
        <v>86</v>
      </c>
    </row>
    <row r="18" ht="15.75" customHeight="1">
      <c r="A18" s="17" t="s">
        <v>87</v>
      </c>
      <c r="C18" s="12" t="s">
        <v>88</v>
      </c>
      <c r="D18" s="12" t="s">
        <v>85</v>
      </c>
      <c r="E18" s="18" t="s">
        <v>89</v>
      </c>
    </row>
    <row r="19" ht="15.75" customHeight="1">
      <c r="A19" s="17" t="s">
        <v>90</v>
      </c>
      <c r="C19" s="12" t="s">
        <v>91</v>
      </c>
      <c r="D19" s="12" t="s">
        <v>92</v>
      </c>
      <c r="E19" s="18" t="s">
        <v>93</v>
      </c>
    </row>
    <row r="20" ht="15.75" customHeight="1">
      <c r="A20" s="17" t="s">
        <v>94</v>
      </c>
      <c r="C20" s="12" t="s">
        <v>95</v>
      </c>
      <c r="D20" s="12" t="s">
        <v>96</v>
      </c>
      <c r="E20" s="18" t="s">
        <v>97</v>
      </c>
    </row>
    <row r="21" ht="15.75" customHeight="1">
      <c r="A21" s="17" t="s">
        <v>98</v>
      </c>
      <c r="C21" s="12" t="s">
        <v>99</v>
      </c>
      <c r="D21" s="12" t="s">
        <v>96</v>
      </c>
      <c r="E21" s="18" t="s">
        <v>100</v>
      </c>
    </row>
    <row r="22" ht="15.75" customHeight="1">
      <c r="A22" s="17" t="s">
        <v>101</v>
      </c>
      <c r="C22" s="12" t="s">
        <v>102</v>
      </c>
      <c r="D22" s="12" t="s">
        <v>92</v>
      </c>
      <c r="E22" s="18" t="s">
        <v>103</v>
      </c>
    </row>
    <row r="23" ht="15.75" customHeight="1">
      <c r="A23" s="17" t="s">
        <v>104</v>
      </c>
      <c r="C23" s="12" t="s">
        <v>105</v>
      </c>
      <c r="D23" s="12" t="s">
        <v>92</v>
      </c>
      <c r="E23" s="18" t="s">
        <v>106</v>
      </c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</row>
  </sheetData>
  <mergeCells count="22">
    <mergeCell ref="A16:B16"/>
    <mergeCell ref="A17:B17"/>
    <mergeCell ref="A18:B18"/>
    <mergeCell ref="A19:B19"/>
    <mergeCell ref="A20:B20"/>
    <mergeCell ref="A21:B21"/>
    <mergeCell ref="A22:B22"/>
    <mergeCell ref="A23:B23"/>
    <mergeCell ref="E17:L17"/>
    <mergeCell ref="E18:L18"/>
    <mergeCell ref="E19:L19"/>
    <mergeCell ref="E20:L20"/>
    <mergeCell ref="E21:L21"/>
    <mergeCell ref="E22:L22"/>
    <mergeCell ref="E23:L23"/>
    <mergeCell ref="A1:L1"/>
    <mergeCell ref="A13:L13"/>
    <mergeCell ref="A14:B14"/>
    <mergeCell ref="E14:L14"/>
    <mergeCell ref="A15:B15"/>
    <mergeCell ref="E15:L15"/>
    <mergeCell ref="E16:L16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4" width="11.0"/>
    <col customWidth="1" min="15" max="26" width="8.71"/>
  </cols>
  <sheetData>
    <row r="1" ht="24.75" customHeight="1">
      <c r="A1" s="2" t="s">
        <v>107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</row>
    <row r="2" ht="15.75" customHeight="1">
      <c r="A2" s="5" t="s">
        <v>108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ht="19.5" customHeight="1">
      <c r="A4" s="8" t="s">
        <v>109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4"/>
    </row>
    <row r="5" ht="23.25" customHeight="1">
      <c r="A5" s="19" t="s">
        <v>110</v>
      </c>
      <c r="B5" s="19" t="s">
        <v>111</v>
      </c>
      <c r="C5" s="19" t="s">
        <v>112</v>
      </c>
      <c r="D5" s="19" t="s">
        <v>113</v>
      </c>
      <c r="E5" s="19" t="s">
        <v>114</v>
      </c>
      <c r="F5" s="19" t="s">
        <v>115</v>
      </c>
      <c r="G5" s="19" t="s">
        <v>116</v>
      </c>
      <c r="H5" s="19" t="s">
        <v>117</v>
      </c>
      <c r="I5" s="19" t="s">
        <v>118</v>
      </c>
      <c r="J5" s="19" t="s">
        <v>119</v>
      </c>
      <c r="K5" s="19" t="s">
        <v>120</v>
      </c>
      <c r="L5" s="19" t="s">
        <v>121</v>
      </c>
      <c r="M5" s="19" t="s">
        <v>122</v>
      </c>
      <c r="N5" s="19" t="s">
        <v>123</v>
      </c>
    </row>
    <row r="6" ht="15.75" customHeight="1">
      <c r="A6" s="13">
        <v>1.0</v>
      </c>
      <c r="B6" s="12" t="s">
        <v>124</v>
      </c>
      <c r="C6" s="12" t="s">
        <v>125</v>
      </c>
      <c r="D6" s="12" t="s">
        <v>126</v>
      </c>
      <c r="E6" s="15">
        <v>0.08</v>
      </c>
      <c r="F6" s="20">
        <v>17369.0</v>
      </c>
      <c r="G6" s="21">
        <f t="shared" ref="G6:G8" si="1">E6*F6</f>
        <v>1389.52</v>
      </c>
      <c r="H6" s="15">
        <v>1.0</v>
      </c>
      <c r="I6" s="21">
        <f t="shared" ref="I6:I8" si="2">F6*H6</f>
        <v>17369</v>
      </c>
      <c r="J6" s="21">
        <f t="shared" ref="J6:J8" si="3">E6*I6</f>
        <v>1389.52</v>
      </c>
      <c r="K6" s="14">
        <v>0.15</v>
      </c>
      <c r="L6" s="22">
        <v>0.15</v>
      </c>
      <c r="M6" s="21">
        <f t="shared" ref="M6:M8" si="4">J6*(1-L6)</f>
        <v>1181.092</v>
      </c>
      <c r="N6" s="21">
        <f t="shared" ref="N6:N8" si="5">J6*(1+L6)</f>
        <v>1597.948</v>
      </c>
    </row>
    <row r="7" ht="15.75" customHeight="1">
      <c r="A7" s="13">
        <v>2.0</v>
      </c>
      <c r="B7" s="12" t="s">
        <v>127</v>
      </c>
      <c r="C7" s="12" t="s">
        <v>128</v>
      </c>
      <c r="D7" s="12" t="s">
        <v>129</v>
      </c>
      <c r="E7" s="15">
        <v>0.12</v>
      </c>
      <c r="F7" s="20">
        <v>8500.0</v>
      </c>
      <c r="G7" s="21">
        <f t="shared" si="1"/>
        <v>1020</v>
      </c>
      <c r="H7" s="15">
        <v>1.0</v>
      </c>
      <c r="I7" s="21">
        <f t="shared" si="2"/>
        <v>8500</v>
      </c>
      <c r="J7" s="21">
        <f t="shared" si="3"/>
        <v>1020</v>
      </c>
      <c r="K7" s="14">
        <v>2.0</v>
      </c>
      <c r="L7" s="22">
        <v>0.15</v>
      </c>
      <c r="M7" s="21">
        <f t="shared" si="4"/>
        <v>867</v>
      </c>
      <c r="N7" s="21">
        <f t="shared" si="5"/>
        <v>1173</v>
      </c>
    </row>
    <row r="8" ht="15.75" customHeight="1">
      <c r="A8" s="13">
        <v>3.0</v>
      </c>
      <c r="B8" s="12" t="s">
        <v>130</v>
      </c>
      <c r="C8" s="12" t="s">
        <v>131</v>
      </c>
      <c r="D8" s="12" t="s">
        <v>132</v>
      </c>
      <c r="E8" s="15">
        <v>0.05</v>
      </c>
      <c r="F8" s="20">
        <v>1000.0</v>
      </c>
      <c r="G8" s="21">
        <f t="shared" si="1"/>
        <v>50</v>
      </c>
      <c r="H8" s="15">
        <v>1.0</v>
      </c>
      <c r="I8" s="21">
        <f t="shared" si="2"/>
        <v>1000</v>
      </c>
      <c r="J8" s="23">
        <f t="shared" si="3"/>
        <v>50</v>
      </c>
      <c r="K8" s="14">
        <v>1.0</v>
      </c>
      <c r="L8" s="22">
        <v>0.15</v>
      </c>
      <c r="M8" s="21">
        <f t="shared" si="4"/>
        <v>42.5</v>
      </c>
      <c r="N8" s="21">
        <f t="shared" si="5"/>
        <v>57.5</v>
      </c>
    </row>
    <row r="9" ht="18.0" customHeight="1">
      <c r="A9" s="1"/>
      <c r="B9" s="24" t="s">
        <v>133</v>
      </c>
      <c r="C9" s="3"/>
      <c r="D9" s="3"/>
      <c r="E9" s="3"/>
      <c r="F9" s="4"/>
      <c r="G9" s="23">
        <f>SUM(G6:G8)</f>
        <v>2459.52</v>
      </c>
      <c r="H9" s="1"/>
      <c r="I9" s="1"/>
      <c r="J9" s="23">
        <f>SUM(J6:J8)</f>
        <v>2459.52</v>
      </c>
      <c r="K9" s="1"/>
      <c r="L9" s="1"/>
      <c r="M9" s="23">
        <f t="shared" ref="M9:N9" si="6">SUM(M6:M8)</f>
        <v>2090.592</v>
      </c>
      <c r="N9" s="23">
        <f t="shared" si="6"/>
        <v>2828.448</v>
      </c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ht="15.0" customHeight="1">
      <c r="A11" s="25" t="s">
        <v>134</v>
      </c>
      <c r="B11" s="26" t="s">
        <v>135</v>
      </c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ht="19.5" customHeight="1">
      <c r="A14" s="8" t="s">
        <v>136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4"/>
    </row>
    <row r="15" ht="23.25" customHeight="1">
      <c r="A15" s="19" t="s">
        <v>110</v>
      </c>
      <c r="B15" s="19" t="s">
        <v>111</v>
      </c>
      <c r="C15" s="19" t="s">
        <v>112</v>
      </c>
      <c r="D15" s="19" t="s">
        <v>113</v>
      </c>
      <c r="E15" s="19" t="s">
        <v>114</v>
      </c>
      <c r="F15" s="19" t="s">
        <v>115</v>
      </c>
      <c r="G15" s="19" t="s">
        <v>116</v>
      </c>
      <c r="H15" s="19" t="s">
        <v>117</v>
      </c>
      <c r="I15" s="19" t="s">
        <v>118</v>
      </c>
      <c r="J15" s="19" t="s">
        <v>119</v>
      </c>
      <c r="K15" s="19" t="s">
        <v>120</v>
      </c>
      <c r="L15" s="19" t="s">
        <v>121</v>
      </c>
      <c r="M15" s="19" t="s">
        <v>122</v>
      </c>
      <c r="N15" s="19" t="s">
        <v>123</v>
      </c>
    </row>
    <row r="16" ht="15.75" customHeight="1">
      <c r="A16" s="13">
        <v>1.0</v>
      </c>
      <c r="B16" s="12" t="s">
        <v>137</v>
      </c>
      <c r="C16" s="12" t="s">
        <v>125</v>
      </c>
      <c r="D16" s="12" t="s">
        <v>126</v>
      </c>
      <c r="E16" s="15">
        <v>0.03</v>
      </c>
      <c r="F16" s="20">
        <v>17369.0</v>
      </c>
      <c r="G16" s="21">
        <f t="shared" ref="G16:G18" si="7">E16*F16</f>
        <v>521.07</v>
      </c>
      <c r="H16" s="15">
        <v>1.0</v>
      </c>
      <c r="I16" s="21">
        <f t="shared" ref="I16:I18" si="8">F16*H16</f>
        <v>17369</v>
      </c>
      <c r="J16" s="21">
        <f t="shared" ref="J16:J18" si="9">E16*I16</f>
        <v>521.07</v>
      </c>
      <c r="K16" s="14">
        <v>0.15</v>
      </c>
      <c r="L16" s="22">
        <v>0.15</v>
      </c>
      <c r="M16" s="21">
        <f t="shared" ref="M16:M18" si="10">J16*(1-L16)</f>
        <v>442.9095</v>
      </c>
      <c r="N16" s="21">
        <f t="shared" ref="N16:N18" si="11">J16*(1+L16)</f>
        <v>599.2305</v>
      </c>
    </row>
    <row r="17" ht="15.75" customHeight="1">
      <c r="A17" s="13">
        <v>2.0</v>
      </c>
      <c r="B17" s="12" t="s">
        <v>138</v>
      </c>
      <c r="C17" s="12" t="s">
        <v>131</v>
      </c>
      <c r="D17" s="12" t="s">
        <v>129</v>
      </c>
      <c r="E17" s="15">
        <v>0.05</v>
      </c>
      <c r="F17" s="20">
        <v>45000.0</v>
      </c>
      <c r="G17" s="21">
        <f t="shared" si="7"/>
        <v>2250</v>
      </c>
      <c r="H17" s="15">
        <v>1.0</v>
      </c>
      <c r="I17" s="21">
        <f t="shared" si="8"/>
        <v>45000</v>
      </c>
      <c r="J17" s="21">
        <f t="shared" si="9"/>
        <v>2250</v>
      </c>
      <c r="K17" s="14">
        <v>1.0</v>
      </c>
      <c r="L17" s="22">
        <v>0.15</v>
      </c>
      <c r="M17" s="21">
        <f t="shared" si="10"/>
        <v>1912.5</v>
      </c>
      <c r="N17" s="21">
        <f t="shared" si="11"/>
        <v>2587.5</v>
      </c>
    </row>
    <row r="18" ht="15.75" customHeight="1">
      <c r="A18" s="13">
        <v>3.0</v>
      </c>
      <c r="B18" s="12" t="s">
        <v>139</v>
      </c>
      <c r="C18" s="12" t="s">
        <v>140</v>
      </c>
      <c r="D18" s="12" t="s">
        <v>141</v>
      </c>
      <c r="E18" s="15">
        <v>0.01</v>
      </c>
      <c r="F18" s="20">
        <v>65000.0</v>
      </c>
      <c r="G18" s="21">
        <f t="shared" si="7"/>
        <v>650</v>
      </c>
      <c r="H18" s="15">
        <v>1.0</v>
      </c>
      <c r="I18" s="21">
        <f t="shared" si="8"/>
        <v>65000</v>
      </c>
      <c r="J18" s="23">
        <f t="shared" si="9"/>
        <v>650</v>
      </c>
      <c r="K18" s="14">
        <v>0.5</v>
      </c>
      <c r="L18" s="22">
        <v>0.15</v>
      </c>
      <c r="M18" s="21">
        <f t="shared" si="10"/>
        <v>552.5</v>
      </c>
      <c r="N18" s="21">
        <f t="shared" si="11"/>
        <v>747.5</v>
      </c>
    </row>
    <row r="19" ht="18.0" customHeight="1">
      <c r="A19" s="1"/>
      <c r="B19" s="24" t="s">
        <v>133</v>
      </c>
      <c r="C19" s="3"/>
      <c r="D19" s="3"/>
      <c r="E19" s="3"/>
      <c r="F19" s="4"/>
      <c r="G19" s="23">
        <f>SUM(G16:G18)</f>
        <v>3421.07</v>
      </c>
      <c r="H19" s="1"/>
      <c r="I19" s="1"/>
      <c r="J19" s="23">
        <f>SUM(J16:J18)</f>
        <v>3421.07</v>
      </c>
      <c r="K19" s="1"/>
      <c r="L19" s="1"/>
      <c r="M19" s="23">
        <f t="shared" ref="M19:N19" si="12">SUM(M16:M18)</f>
        <v>2907.9095</v>
      </c>
      <c r="N19" s="23">
        <f t="shared" si="12"/>
        <v>3934.2305</v>
      </c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ht="15.0" customHeight="1">
      <c r="A21" s="25" t="s">
        <v>134</v>
      </c>
      <c r="B21" s="26" t="s">
        <v>142</v>
      </c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ht="19.5" customHeight="1">
      <c r="A24" s="8" t="s">
        <v>143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4"/>
    </row>
    <row r="25" ht="23.25" customHeight="1">
      <c r="A25" s="19" t="s">
        <v>110</v>
      </c>
      <c r="B25" s="19" t="s">
        <v>111</v>
      </c>
      <c r="C25" s="19" t="s">
        <v>112</v>
      </c>
      <c r="D25" s="19" t="s">
        <v>113</v>
      </c>
      <c r="E25" s="19" t="s">
        <v>114</v>
      </c>
      <c r="F25" s="19" t="s">
        <v>115</v>
      </c>
      <c r="G25" s="19" t="s">
        <v>116</v>
      </c>
      <c r="H25" s="19" t="s">
        <v>117</v>
      </c>
      <c r="I25" s="19" t="s">
        <v>118</v>
      </c>
      <c r="J25" s="19" t="s">
        <v>119</v>
      </c>
      <c r="K25" s="19" t="s">
        <v>120</v>
      </c>
      <c r="L25" s="19" t="s">
        <v>121</v>
      </c>
      <c r="M25" s="19" t="s">
        <v>122</v>
      </c>
      <c r="N25" s="19" t="s">
        <v>123</v>
      </c>
    </row>
    <row r="26" ht="15.75" customHeight="1">
      <c r="A26" s="13">
        <v>1.0</v>
      </c>
      <c r="B26" s="12" t="s">
        <v>144</v>
      </c>
      <c r="C26" s="12" t="s">
        <v>131</v>
      </c>
      <c r="D26" s="12" t="s">
        <v>145</v>
      </c>
      <c r="E26" s="15">
        <v>1.0</v>
      </c>
      <c r="F26" s="20">
        <v>4500000.0</v>
      </c>
      <c r="G26" s="21">
        <f t="shared" ref="G26:G28" si="13">E26*F26</f>
        <v>4500000</v>
      </c>
      <c r="H26" s="15">
        <v>1.0</v>
      </c>
      <c r="I26" s="21">
        <f t="shared" ref="I26:I28" si="14">F26*H26</f>
        <v>4500000</v>
      </c>
      <c r="J26" s="21">
        <f t="shared" ref="J26:J28" si="15">E26*I26</f>
        <v>4500000</v>
      </c>
      <c r="K26" s="14">
        <v>1.0</v>
      </c>
      <c r="L26" s="22">
        <v>0.15</v>
      </c>
      <c r="M26" s="21">
        <f t="shared" ref="M26:M28" si="16">J26*(1-L26)</f>
        <v>3825000</v>
      </c>
      <c r="N26" s="21">
        <f t="shared" ref="N26:N28" si="17">J26*(1+L26)</f>
        <v>5175000</v>
      </c>
    </row>
    <row r="27" ht="15.75" customHeight="1">
      <c r="A27" s="13">
        <v>2.0</v>
      </c>
      <c r="B27" s="12" t="s">
        <v>146</v>
      </c>
      <c r="C27" s="12" t="s">
        <v>131</v>
      </c>
      <c r="D27" s="12" t="s">
        <v>147</v>
      </c>
      <c r="E27" s="15">
        <v>40.0</v>
      </c>
      <c r="F27" s="20">
        <v>38000.0</v>
      </c>
      <c r="G27" s="21">
        <f t="shared" si="13"/>
        <v>1520000</v>
      </c>
      <c r="H27" s="15">
        <v>1.0</v>
      </c>
      <c r="I27" s="21">
        <f t="shared" si="14"/>
        <v>38000</v>
      </c>
      <c r="J27" s="21">
        <f t="shared" si="15"/>
        <v>1520000</v>
      </c>
      <c r="K27" s="14">
        <v>1.0</v>
      </c>
      <c r="L27" s="22">
        <v>0.15</v>
      </c>
      <c r="M27" s="21">
        <f t="shared" si="16"/>
        <v>1292000</v>
      </c>
      <c r="N27" s="21">
        <f t="shared" si="17"/>
        <v>1748000</v>
      </c>
    </row>
    <row r="28" ht="15.75" customHeight="1">
      <c r="A28" s="13">
        <v>3.0</v>
      </c>
      <c r="B28" s="12" t="s">
        <v>148</v>
      </c>
      <c r="C28" s="12" t="s">
        <v>140</v>
      </c>
      <c r="D28" s="12" t="s">
        <v>149</v>
      </c>
      <c r="E28" s="15">
        <v>4.0</v>
      </c>
      <c r="F28" s="20">
        <v>800000.0</v>
      </c>
      <c r="G28" s="21">
        <f t="shared" si="13"/>
        <v>3200000</v>
      </c>
      <c r="H28" s="15">
        <v>1.0</v>
      </c>
      <c r="I28" s="21">
        <f t="shared" si="14"/>
        <v>800000</v>
      </c>
      <c r="J28" s="23">
        <f t="shared" si="15"/>
        <v>3200000</v>
      </c>
      <c r="K28" s="14">
        <v>0.5</v>
      </c>
      <c r="L28" s="22">
        <v>0.15</v>
      </c>
      <c r="M28" s="21">
        <f t="shared" si="16"/>
        <v>2720000</v>
      </c>
      <c r="N28" s="21">
        <f t="shared" si="17"/>
        <v>3680000</v>
      </c>
    </row>
    <row r="29" ht="18.0" customHeight="1">
      <c r="A29" s="1"/>
      <c r="B29" s="24" t="s">
        <v>133</v>
      </c>
      <c r="C29" s="3"/>
      <c r="D29" s="3"/>
      <c r="E29" s="3"/>
      <c r="F29" s="4"/>
      <c r="G29" s="23">
        <f>SUM(G26:G28)</f>
        <v>9220000</v>
      </c>
      <c r="H29" s="1"/>
      <c r="I29" s="1"/>
      <c r="J29" s="23">
        <f>SUM(J26:J28)</f>
        <v>9220000</v>
      </c>
      <c r="K29" s="1"/>
      <c r="L29" s="1"/>
      <c r="M29" s="23">
        <f t="shared" ref="M29:N29" si="18">SUM(M26:M28)</f>
        <v>7837000</v>
      </c>
      <c r="N29" s="23">
        <f t="shared" si="18"/>
        <v>10603000</v>
      </c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ht="15.0" customHeight="1">
      <c r="A31" s="25" t="s">
        <v>134</v>
      </c>
      <c r="B31" s="26" t="s">
        <v>150</v>
      </c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ht="19.5" customHeight="1">
      <c r="A34" s="8" t="s">
        <v>151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4"/>
    </row>
    <row r="35" ht="23.25" customHeight="1">
      <c r="A35" s="19" t="s">
        <v>110</v>
      </c>
      <c r="B35" s="19" t="s">
        <v>111</v>
      </c>
      <c r="C35" s="19" t="s">
        <v>112</v>
      </c>
      <c r="D35" s="19" t="s">
        <v>113</v>
      </c>
      <c r="E35" s="19" t="s">
        <v>114</v>
      </c>
      <c r="F35" s="19" t="s">
        <v>115</v>
      </c>
      <c r="G35" s="19" t="s">
        <v>116</v>
      </c>
      <c r="H35" s="19" t="s">
        <v>117</v>
      </c>
      <c r="I35" s="19" t="s">
        <v>118</v>
      </c>
      <c r="J35" s="19" t="s">
        <v>119</v>
      </c>
      <c r="K35" s="19" t="s">
        <v>120</v>
      </c>
      <c r="L35" s="19" t="s">
        <v>121</v>
      </c>
      <c r="M35" s="19" t="s">
        <v>122</v>
      </c>
      <c r="N35" s="19" t="s">
        <v>123</v>
      </c>
    </row>
    <row r="36" ht="15.75" customHeight="1">
      <c r="A36" s="13">
        <v>1.0</v>
      </c>
      <c r="B36" s="12" t="s">
        <v>152</v>
      </c>
      <c r="C36" s="12" t="s">
        <v>131</v>
      </c>
      <c r="D36" s="12" t="s">
        <v>153</v>
      </c>
      <c r="E36" s="15">
        <v>1.0</v>
      </c>
      <c r="F36" s="20">
        <v>28000.0</v>
      </c>
      <c r="G36" s="21">
        <f t="shared" ref="G36:G38" si="19">E36*F36</f>
        <v>28000</v>
      </c>
      <c r="H36" s="15">
        <v>1.0</v>
      </c>
      <c r="I36" s="21">
        <f t="shared" ref="I36:I38" si="20">F36*H36</f>
        <v>28000</v>
      </c>
      <c r="J36" s="21">
        <f t="shared" ref="J36:J38" si="21">E36*I36</f>
        <v>28000</v>
      </c>
      <c r="K36" s="14">
        <v>1.0</v>
      </c>
      <c r="L36" s="22">
        <v>0.15</v>
      </c>
      <c r="M36" s="21">
        <f t="shared" ref="M36:M38" si="22">J36*(1-L36)</f>
        <v>23800</v>
      </c>
      <c r="N36" s="21">
        <f t="shared" ref="N36:N38" si="23">J36*(1+L36)</f>
        <v>32200</v>
      </c>
    </row>
    <row r="37" ht="15.75" customHeight="1">
      <c r="A37" s="13">
        <v>2.0</v>
      </c>
      <c r="B37" s="12" t="s">
        <v>154</v>
      </c>
      <c r="C37" s="12" t="s">
        <v>131</v>
      </c>
      <c r="D37" s="12" t="s">
        <v>155</v>
      </c>
      <c r="E37" s="15">
        <v>0.1</v>
      </c>
      <c r="F37" s="20">
        <v>45000.0</v>
      </c>
      <c r="G37" s="21">
        <f t="shared" si="19"/>
        <v>4500</v>
      </c>
      <c r="H37" s="15">
        <v>1.0</v>
      </c>
      <c r="I37" s="21">
        <f t="shared" si="20"/>
        <v>45000</v>
      </c>
      <c r="J37" s="21">
        <f t="shared" si="21"/>
        <v>4500</v>
      </c>
      <c r="K37" s="14">
        <v>1.0</v>
      </c>
      <c r="L37" s="22">
        <v>0.15</v>
      </c>
      <c r="M37" s="21">
        <f t="shared" si="22"/>
        <v>3825</v>
      </c>
      <c r="N37" s="21">
        <f t="shared" si="23"/>
        <v>5175</v>
      </c>
    </row>
    <row r="38" ht="15.75" customHeight="1">
      <c r="A38" s="13">
        <v>3.0</v>
      </c>
      <c r="B38" s="12" t="s">
        <v>156</v>
      </c>
      <c r="C38" s="12" t="s">
        <v>125</v>
      </c>
      <c r="D38" s="12" t="s">
        <v>126</v>
      </c>
      <c r="E38" s="15">
        <v>0.02</v>
      </c>
      <c r="F38" s="20">
        <v>17369.0</v>
      </c>
      <c r="G38" s="21">
        <f t="shared" si="19"/>
        <v>347.38</v>
      </c>
      <c r="H38" s="15">
        <v>1.0</v>
      </c>
      <c r="I38" s="21">
        <f t="shared" si="20"/>
        <v>17369</v>
      </c>
      <c r="J38" s="23">
        <f t="shared" si="21"/>
        <v>347.38</v>
      </c>
      <c r="K38" s="14">
        <v>0.15</v>
      </c>
      <c r="L38" s="22">
        <v>0.15</v>
      </c>
      <c r="M38" s="21">
        <f t="shared" si="22"/>
        <v>295.273</v>
      </c>
      <c r="N38" s="21">
        <f t="shared" si="23"/>
        <v>399.487</v>
      </c>
    </row>
    <row r="39" ht="18.0" customHeight="1">
      <c r="A39" s="1"/>
      <c r="B39" s="24" t="s">
        <v>133</v>
      </c>
      <c r="C39" s="3"/>
      <c r="D39" s="3"/>
      <c r="E39" s="3"/>
      <c r="F39" s="4"/>
      <c r="G39" s="23">
        <f>SUM(G36:G38)</f>
        <v>32847.38</v>
      </c>
      <c r="H39" s="1"/>
      <c r="I39" s="1"/>
      <c r="J39" s="23">
        <f>SUM(J36:J38)</f>
        <v>32847.38</v>
      </c>
      <c r="K39" s="1"/>
      <c r="L39" s="1"/>
      <c r="M39" s="23">
        <f t="shared" ref="M39:N39" si="24">SUM(M36:M38)</f>
        <v>27920.273</v>
      </c>
      <c r="N39" s="23">
        <f t="shared" si="24"/>
        <v>37774.487</v>
      </c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ht="15.0" customHeight="1">
      <c r="A41" s="25" t="s">
        <v>134</v>
      </c>
      <c r="B41" s="26" t="s">
        <v>157</v>
      </c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</row>
  </sheetData>
  <mergeCells count="14">
    <mergeCell ref="B21:N21"/>
    <mergeCell ref="A24:N24"/>
    <mergeCell ref="B29:F29"/>
    <mergeCell ref="B31:N31"/>
    <mergeCell ref="A34:N34"/>
    <mergeCell ref="B39:F39"/>
    <mergeCell ref="B41:N41"/>
    <mergeCell ref="A1:N1"/>
    <mergeCell ref="A2:N2"/>
    <mergeCell ref="A4:N4"/>
    <mergeCell ref="B9:F9"/>
    <mergeCell ref="B11:N11"/>
    <mergeCell ref="A14:N14"/>
    <mergeCell ref="B19:F19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4" width="11.0"/>
    <col customWidth="1" min="15" max="26" width="8.71"/>
  </cols>
  <sheetData>
    <row r="1" ht="24.75" customHeight="1">
      <c r="A1" s="2" t="s">
        <v>158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</row>
    <row r="2" ht="15.75" customHeight="1">
      <c r="A2" s="5" t="s">
        <v>159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ht="19.5" customHeight="1">
      <c r="A4" s="8" t="s">
        <v>160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4"/>
    </row>
    <row r="5" ht="23.25" customHeight="1">
      <c r="A5" s="19" t="s">
        <v>110</v>
      </c>
      <c r="B5" s="19" t="s">
        <v>111</v>
      </c>
      <c r="C5" s="19" t="s">
        <v>112</v>
      </c>
      <c r="D5" s="19" t="s">
        <v>113</v>
      </c>
      <c r="E5" s="19" t="s">
        <v>114</v>
      </c>
      <c r="F5" s="19" t="s">
        <v>115</v>
      </c>
      <c r="G5" s="19" t="s">
        <v>116</v>
      </c>
      <c r="H5" s="19" t="s">
        <v>117</v>
      </c>
      <c r="I5" s="19" t="s">
        <v>118</v>
      </c>
      <c r="J5" s="19" t="s">
        <v>119</v>
      </c>
      <c r="K5" s="19" t="s">
        <v>120</v>
      </c>
      <c r="L5" s="19" t="s">
        <v>121</v>
      </c>
      <c r="M5" s="19" t="s">
        <v>122</v>
      </c>
      <c r="N5" s="19" t="s">
        <v>123</v>
      </c>
    </row>
    <row r="6" ht="15.75" customHeight="1">
      <c r="A6" s="13">
        <v>1.0</v>
      </c>
      <c r="B6" s="12" t="s">
        <v>161</v>
      </c>
      <c r="C6" s="12" t="s">
        <v>125</v>
      </c>
      <c r="D6" s="12" t="s">
        <v>126</v>
      </c>
      <c r="E6" s="15">
        <v>0.5</v>
      </c>
      <c r="F6" s="20">
        <v>17369.0</v>
      </c>
      <c r="G6" s="21">
        <f t="shared" ref="G6:G8" si="1">E6*F6</f>
        <v>8684.5</v>
      </c>
      <c r="H6" s="15">
        <v>1.0</v>
      </c>
      <c r="I6" s="21">
        <f t="shared" ref="I6:I8" si="2">F6*H6</f>
        <v>17369</v>
      </c>
      <c r="J6" s="21">
        <f t="shared" ref="J6:J8" si="3">E6*I6</f>
        <v>8684.5</v>
      </c>
      <c r="K6" s="14">
        <v>0.15</v>
      </c>
      <c r="L6" s="22">
        <v>0.15</v>
      </c>
      <c r="M6" s="21">
        <f t="shared" ref="M6:M8" si="4">J6*(1-L6)</f>
        <v>7381.825</v>
      </c>
      <c r="N6" s="21">
        <f t="shared" ref="N6:N8" si="5">J6*(1+L6)</f>
        <v>9987.175</v>
      </c>
    </row>
    <row r="7" ht="15.75" customHeight="1">
      <c r="A7" s="13">
        <v>2.0</v>
      </c>
      <c r="B7" s="12" t="s">
        <v>162</v>
      </c>
      <c r="C7" s="12" t="s">
        <v>140</v>
      </c>
      <c r="D7" s="12" t="s">
        <v>163</v>
      </c>
      <c r="E7" s="15">
        <v>0.15</v>
      </c>
      <c r="F7" s="20">
        <v>85000.0</v>
      </c>
      <c r="G7" s="21">
        <f t="shared" si="1"/>
        <v>12750</v>
      </c>
      <c r="H7" s="15">
        <v>1.0</v>
      </c>
      <c r="I7" s="21">
        <f t="shared" si="2"/>
        <v>85000</v>
      </c>
      <c r="J7" s="21">
        <f t="shared" si="3"/>
        <v>12750</v>
      </c>
      <c r="K7" s="14">
        <v>0.5</v>
      </c>
      <c r="L7" s="22">
        <v>0.15</v>
      </c>
      <c r="M7" s="21">
        <f t="shared" si="4"/>
        <v>10837.5</v>
      </c>
      <c r="N7" s="21">
        <f t="shared" si="5"/>
        <v>14662.5</v>
      </c>
    </row>
    <row r="8" ht="15.75" customHeight="1">
      <c r="A8" s="13">
        <v>3.0</v>
      </c>
      <c r="B8" s="12" t="s">
        <v>164</v>
      </c>
      <c r="C8" s="12" t="s">
        <v>128</v>
      </c>
      <c r="D8" s="12" t="s">
        <v>165</v>
      </c>
      <c r="E8" s="15">
        <v>0.5</v>
      </c>
      <c r="F8" s="20">
        <v>12000.0</v>
      </c>
      <c r="G8" s="21">
        <f t="shared" si="1"/>
        <v>6000</v>
      </c>
      <c r="H8" s="15">
        <v>1.0</v>
      </c>
      <c r="I8" s="21">
        <f t="shared" si="2"/>
        <v>12000</v>
      </c>
      <c r="J8" s="23">
        <f t="shared" si="3"/>
        <v>6000</v>
      </c>
      <c r="K8" s="14">
        <v>2.0</v>
      </c>
      <c r="L8" s="22">
        <v>0.15</v>
      </c>
      <c r="M8" s="21">
        <f t="shared" si="4"/>
        <v>5100</v>
      </c>
      <c r="N8" s="21">
        <f t="shared" si="5"/>
        <v>6900</v>
      </c>
    </row>
    <row r="9" ht="18.0" customHeight="1">
      <c r="A9" s="1"/>
      <c r="B9" s="24" t="s">
        <v>133</v>
      </c>
      <c r="C9" s="3"/>
      <c r="D9" s="3"/>
      <c r="E9" s="3"/>
      <c r="F9" s="4"/>
      <c r="G9" s="23">
        <f>SUM(G6:G8)</f>
        <v>27434.5</v>
      </c>
      <c r="H9" s="1"/>
      <c r="I9" s="1"/>
      <c r="J9" s="23">
        <f>SUM(J6:J8)</f>
        <v>27434.5</v>
      </c>
      <c r="K9" s="1"/>
      <c r="L9" s="1"/>
      <c r="M9" s="23">
        <f t="shared" ref="M9:N9" si="6">SUM(M6:M8)</f>
        <v>23319.325</v>
      </c>
      <c r="N9" s="23">
        <f t="shared" si="6"/>
        <v>31549.675</v>
      </c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ht="15.0" customHeight="1">
      <c r="A11" s="25" t="s">
        <v>134</v>
      </c>
      <c r="B11" s="26" t="s">
        <v>166</v>
      </c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ht="19.5" customHeight="1">
      <c r="A14" s="8" t="s">
        <v>167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4"/>
    </row>
    <row r="15" ht="23.25" customHeight="1">
      <c r="A15" s="19" t="s">
        <v>110</v>
      </c>
      <c r="B15" s="19" t="s">
        <v>111</v>
      </c>
      <c r="C15" s="19" t="s">
        <v>112</v>
      </c>
      <c r="D15" s="19" t="s">
        <v>113</v>
      </c>
      <c r="E15" s="19" t="s">
        <v>114</v>
      </c>
      <c r="F15" s="19" t="s">
        <v>115</v>
      </c>
      <c r="G15" s="19" t="s">
        <v>116</v>
      </c>
      <c r="H15" s="19" t="s">
        <v>117</v>
      </c>
      <c r="I15" s="19" t="s">
        <v>118</v>
      </c>
      <c r="J15" s="19" t="s">
        <v>119</v>
      </c>
      <c r="K15" s="19" t="s">
        <v>120</v>
      </c>
      <c r="L15" s="19" t="s">
        <v>121</v>
      </c>
      <c r="M15" s="19" t="s">
        <v>122</v>
      </c>
      <c r="N15" s="19" t="s">
        <v>123</v>
      </c>
    </row>
    <row r="16" ht="15.75" customHeight="1">
      <c r="A16" s="13">
        <v>1.0</v>
      </c>
      <c r="B16" s="12" t="s">
        <v>168</v>
      </c>
      <c r="C16" s="12" t="s">
        <v>131</v>
      </c>
      <c r="D16" s="12" t="s">
        <v>129</v>
      </c>
      <c r="E16" s="15">
        <v>0.1</v>
      </c>
      <c r="F16" s="20">
        <v>120000.0</v>
      </c>
      <c r="G16" s="21">
        <f t="shared" ref="G16:G18" si="7">E16*F16</f>
        <v>12000</v>
      </c>
      <c r="H16" s="15">
        <v>1.0</v>
      </c>
      <c r="I16" s="21">
        <f t="shared" ref="I16:I18" si="8">F16*H16</f>
        <v>120000</v>
      </c>
      <c r="J16" s="21">
        <f t="shared" ref="J16:J18" si="9">E16*I16</f>
        <v>12000</v>
      </c>
      <c r="K16" s="14">
        <v>1.0</v>
      </c>
      <c r="L16" s="22">
        <v>0.15</v>
      </c>
      <c r="M16" s="21">
        <f t="shared" ref="M16:M18" si="10">J16*(1-L16)</f>
        <v>10200</v>
      </c>
      <c r="N16" s="21">
        <f t="shared" ref="N16:N18" si="11">J16*(1+L16)</f>
        <v>13800</v>
      </c>
    </row>
    <row r="17" ht="15.75" customHeight="1">
      <c r="A17" s="13">
        <v>2.0</v>
      </c>
      <c r="B17" s="12" t="s">
        <v>169</v>
      </c>
      <c r="C17" s="12" t="s">
        <v>125</v>
      </c>
      <c r="D17" s="12" t="s">
        <v>126</v>
      </c>
      <c r="E17" s="15">
        <v>1.2</v>
      </c>
      <c r="F17" s="20">
        <v>17369.0</v>
      </c>
      <c r="G17" s="21">
        <f t="shared" si="7"/>
        <v>20842.8</v>
      </c>
      <c r="H17" s="15">
        <v>1.0</v>
      </c>
      <c r="I17" s="21">
        <f t="shared" si="8"/>
        <v>17369</v>
      </c>
      <c r="J17" s="21">
        <f t="shared" si="9"/>
        <v>20842.8</v>
      </c>
      <c r="K17" s="14">
        <v>0.15</v>
      </c>
      <c r="L17" s="22">
        <v>0.15</v>
      </c>
      <c r="M17" s="21">
        <f t="shared" si="10"/>
        <v>17716.38</v>
      </c>
      <c r="N17" s="21">
        <f t="shared" si="11"/>
        <v>23969.22</v>
      </c>
    </row>
    <row r="18" ht="15.75" customHeight="1">
      <c r="A18" s="13">
        <v>3.0</v>
      </c>
      <c r="B18" s="12" t="s">
        <v>170</v>
      </c>
      <c r="C18" s="12" t="s">
        <v>140</v>
      </c>
      <c r="D18" s="12" t="s">
        <v>171</v>
      </c>
      <c r="E18" s="15">
        <v>2.0</v>
      </c>
      <c r="F18" s="20">
        <v>150000.0</v>
      </c>
      <c r="G18" s="21">
        <f t="shared" si="7"/>
        <v>300000</v>
      </c>
      <c r="H18" s="15">
        <v>1.0</v>
      </c>
      <c r="I18" s="21">
        <f t="shared" si="8"/>
        <v>150000</v>
      </c>
      <c r="J18" s="23">
        <f t="shared" si="9"/>
        <v>300000</v>
      </c>
      <c r="K18" s="14">
        <v>0.5</v>
      </c>
      <c r="L18" s="22">
        <v>0.15</v>
      </c>
      <c r="M18" s="21">
        <f t="shared" si="10"/>
        <v>255000</v>
      </c>
      <c r="N18" s="21">
        <f t="shared" si="11"/>
        <v>345000</v>
      </c>
    </row>
    <row r="19" ht="18.0" customHeight="1">
      <c r="A19" s="1"/>
      <c r="B19" s="24" t="s">
        <v>133</v>
      </c>
      <c r="C19" s="3"/>
      <c r="D19" s="3"/>
      <c r="E19" s="3"/>
      <c r="F19" s="4"/>
      <c r="G19" s="23">
        <f>SUM(G16:G18)</f>
        <v>332842.8</v>
      </c>
      <c r="H19" s="1"/>
      <c r="I19" s="1"/>
      <c r="J19" s="23">
        <f>SUM(J16:J18)</f>
        <v>332842.8</v>
      </c>
      <c r="K19" s="1"/>
      <c r="L19" s="1"/>
      <c r="M19" s="23">
        <f t="shared" ref="M19:N19" si="12">SUM(M16:M18)</f>
        <v>282916.38</v>
      </c>
      <c r="N19" s="23">
        <f t="shared" si="12"/>
        <v>382769.22</v>
      </c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ht="15.0" customHeight="1">
      <c r="A21" s="25" t="s">
        <v>134</v>
      </c>
      <c r="B21" s="26" t="s">
        <v>172</v>
      </c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ht="19.5" customHeight="1">
      <c r="A24" s="8" t="s">
        <v>173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4"/>
    </row>
    <row r="25" ht="23.25" customHeight="1">
      <c r="A25" s="19" t="s">
        <v>110</v>
      </c>
      <c r="B25" s="19" t="s">
        <v>111</v>
      </c>
      <c r="C25" s="19" t="s">
        <v>112</v>
      </c>
      <c r="D25" s="19" t="s">
        <v>113</v>
      </c>
      <c r="E25" s="19" t="s">
        <v>114</v>
      </c>
      <c r="F25" s="19" t="s">
        <v>115</v>
      </c>
      <c r="G25" s="19" t="s">
        <v>116</v>
      </c>
      <c r="H25" s="19" t="s">
        <v>117</v>
      </c>
      <c r="I25" s="19" t="s">
        <v>118</v>
      </c>
      <c r="J25" s="19" t="s">
        <v>119</v>
      </c>
      <c r="K25" s="19" t="s">
        <v>120</v>
      </c>
      <c r="L25" s="19" t="s">
        <v>121</v>
      </c>
      <c r="M25" s="19" t="s">
        <v>122</v>
      </c>
      <c r="N25" s="19" t="s">
        <v>123</v>
      </c>
    </row>
    <row r="26" ht="15.75" customHeight="1">
      <c r="A26" s="13">
        <v>1.0</v>
      </c>
      <c r="B26" s="12" t="s">
        <v>174</v>
      </c>
      <c r="C26" s="12" t="s">
        <v>131</v>
      </c>
      <c r="D26" s="12" t="s">
        <v>153</v>
      </c>
      <c r="E26" s="15">
        <v>1.0</v>
      </c>
      <c r="F26" s="20">
        <v>5500.0</v>
      </c>
      <c r="G26" s="21">
        <f t="shared" ref="G26:G28" si="13">E26*F26</f>
        <v>5500</v>
      </c>
      <c r="H26" s="15">
        <v>1.0</v>
      </c>
      <c r="I26" s="21">
        <f t="shared" ref="I26:I28" si="14">F26*H26</f>
        <v>5500</v>
      </c>
      <c r="J26" s="21">
        <f t="shared" ref="J26:J28" si="15">E26*I26</f>
        <v>5500</v>
      </c>
      <c r="K26" s="14">
        <v>1.0</v>
      </c>
      <c r="L26" s="22">
        <v>0.15</v>
      </c>
      <c r="M26" s="21">
        <f t="shared" ref="M26:M28" si="16">J26*(1-L26)</f>
        <v>4675</v>
      </c>
      <c r="N26" s="21">
        <f t="shared" ref="N26:N28" si="17">J26*(1+L26)</f>
        <v>6325</v>
      </c>
    </row>
    <row r="27" ht="15.75" customHeight="1">
      <c r="A27" s="13">
        <v>2.0</v>
      </c>
      <c r="B27" s="12" t="s">
        <v>175</v>
      </c>
      <c r="C27" s="12" t="s">
        <v>131</v>
      </c>
      <c r="D27" s="12" t="s">
        <v>176</v>
      </c>
      <c r="E27" s="15">
        <v>10.0</v>
      </c>
      <c r="F27" s="20">
        <v>950.0</v>
      </c>
      <c r="G27" s="21">
        <f t="shared" si="13"/>
        <v>9500</v>
      </c>
      <c r="H27" s="15">
        <v>1.0</v>
      </c>
      <c r="I27" s="21">
        <f t="shared" si="14"/>
        <v>950</v>
      </c>
      <c r="J27" s="21">
        <f t="shared" si="15"/>
        <v>9500</v>
      </c>
      <c r="K27" s="14">
        <v>1.0</v>
      </c>
      <c r="L27" s="22">
        <v>0.15</v>
      </c>
      <c r="M27" s="21">
        <f t="shared" si="16"/>
        <v>8075</v>
      </c>
      <c r="N27" s="21">
        <f t="shared" si="17"/>
        <v>10925</v>
      </c>
    </row>
    <row r="28" ht="15.75" customHeight="1">
      <c r="A28" s="13">
        <v>3.0</v>
      </c>
      <c r="B28" s="12" t="s">
        <v>177</v>
      </c>
      <c r="C28" s="12" t="s">
        <v>125</v>
      </c>
      <c r="D28" s="12" t="s">
        <v>126</v>
      </c>
      <c r="E28" s="15">
        <v>0.3</v>
      </c>
      <c r="F28" s="20">
        <v>17369.0</v>
      </c>
      <c r="G28" s="21">
        <f t="shared" si="13"/>
        <v>5210.7</v>
      </c>
      <c r="H28" s="15">
        <v>1.0</v>
      </c>
      <c r="I28" s="21">
        <f t="shared" si="14"/>
        <v>17369</v>
      </c>
      <c r="J28" s="23">
        <f t="shared" si="15"/>
        <v>5210.7</v>
      </c>
      <c r="K28" s="14">
        <v>0.15</v>
      </c>
      <c r="L28" s="22">
        <v>0.15</v>
      </c>
      <c r="M28" s="21">
        <f t="shared" si="16"/>
        <v>4429.095</v>
      </c>
      <c r="N28" s="21">
        <f t="shared" si="17"/>
        <v>5992.305</v>
      </c>
    </row>
    <row r="29" ht="18.0" customHeight="1">
      <c r="A29" s="1"/>
      <c r="B29" s="24" t="s">
        <v>133</v>
      </c>
      <c r="C29" s="3"/>
      <c r="D29" s="3"/>
      <c r="E29" s="3"/>
      <c r="F29" s="4"/>
      <c r="G29" s="23">
        <f>SUM(G26:G28)</f>
        <v>20210.7</v>
      </c>
      <c r="H29" s="1"/>
      <c r="I29" s="1"/>
      <c r="J29" s="23">
        <f>SUM(J26:J28)</f>
        <v>20210.7</v>
      </c>
      <c r="K29" s="1"/>
      <c r="L29" s="1"/>
      <c r="M29" s="23">
        <f t="shared" ref="M29:N29" si="18">SUM(M26:M28)</f>
        <v>17179.095</v>
      </c>
      <c r="N29" s="23">
        <f t="shared" si="18"/>
        <v>23242.305</v>
      </c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ht="15.0" customHeight="1">
      <c r="A31" s="25" t="s">
        <v>134</v>
      </c>
      <c r="B31" s="26" t="s">
        <v>178</v>
      </c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ht="19.5" customHeight="1">
      <c r="A34" s="8" t="s">
        <v>179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4"/>
    </row>
    <row r="35" ht="23.25" customHeight="1">
      <c r="A35" s="19" t="s">
        <v>110</v>
      </c>
      <c r="B35" s="19" t="s">
        <v>111</v>
      </c>
      <c r="C35" s="19" t="s">
        <v>112</v>
      </c>
      <c r="D35" s="19" t="s">
        <v>113</v>
      </c>
      <c r="E35" s="19" t="s">
        <v>114</v>
      </c>
      <c r="F35" s="19" t="s">
        <v>115</v>
      </c>
      <c r="G35" s="19" t="s">
        <v>116</v>
      </c>
      <c r="H35" s="19" t="s">
        <v>117</v>
      </c>
      <c r="I35" s="19" t="s">
        <v>118</v>
      </c>
      <c r="J35" s="19" t="s">
        <v>119</v>
      </c>
      <c r="K35" s="19" t="s">
        <v>120</v>
      </c>
      <c r="L35" s="19" t="s">
        <v>121</v>
      </c>
      <c r="M35" s="19" t="s">
        <v>122</v>
      </c>
      <c r="N35" s="19" t="s">
        <v>123</v>
      </c>
    </row>
    <row r="36" ht="15.75" customHeight="1">
      <c r="A36" s="13">
        <v>1.0</v>
      </c>
      <c r="B36" s="12" t="s">
        <v>180</v>
      </c>
      <c r="C36" s="12" t="s">
        <v>140</v>
      </c>
      <c r="D36" s="12" t="s">
        <v>181</v>
      </c>
      <c r="E36" s="15">
        <v>1.0</v>
      </c>
      <c r="F36" s="20">
        <v>45000.0</v>
      </c>
      <c r="G36" s="21">
        <f t="shared" ref="G36:G38" si="19">E36*F36</f>
        <v>45000</v>
      </c>
      <c r="H36" s="15">
        <v>1.0</v>
      </c>
      <c r="I36" s="21">
        <f t="shared" ref="I36:I38" si="20">F36*H36</f>
        <v>45000</v>
      </c>
      <c r="J36" s="21">
        <f t="shared" ref="J36:J38" si="21">E36*I36</f>
        <v>45000</v>
      </c>
      <c r="K36" s="14">
        <v>0.5</v>
      </c>
      <c r="L36" s="22">
        <v>0.15</v>
      </c>
      <c r="M36" s="21">
        <f t="shared" ref="M36:M38" si="22">J36*(1-L36)</f>
        <v>38250</v>
      </c>
      <c r="N36" s="21">
        <f t="shared" ref="N36:N38" si="23">J36*(1+L36)</f>
        <v>51750</v>
      </c>
    </row>
    <row r="37" ht="15.75" customHeight="1">
      <c r="A37" s="13">
        <v>2.0</v>
      </c>
      <c r="B37" s="12" t="s">
        <v>182</v>
      </c>
      <c r="C37" s="12" t="s">
        <v>131</v>
      </c>
      <c r="D37" s="12" t="s">
        <v>181</v>
      </c>
      <c r="E37" s="15">
        <v>1.0</v>
      </c>
      <c r="F37" s="20">
        <v>12000.0</v>
      </c>
      <c r="G37" s="21">
        <f t="shared" si="19"/>
        <v>12000</v>
      </c>
      <c r="H37" s="15">
        <v>1.0</v>
      </c>
      <c r="I37" s="21">
        <f t="shared" si="20"/>
        <v>12000</v>
      </c>
      <c r="J37" s="21">
        <f t="shared" si="21"/>
        <v>12000</v>
      </c>
      <c r="K37" s="14">
        <v>1.0</v>
      </c>
      <c r="L37" s="22">
        <v>0.15</v>
      </c>
      <c r="M37" s="21">
        <f t="shared" si="22"/>
        <v>10200</v>
      </c>
      <c r="N37" s="21">
        <f t="shared" si="23"/>
        <v>13800</v>
      </c>
    </row>
    <row r="38" ht="15.75" customHeight="1">
      <c r="A38" s="13">
        <v>3.0</v>
      </c>
      <c r="B38" s="12" t="s">
        <v>183</v>
      </c>
      <c r="C38" s="12" t="s">
        <v>125</v>
      </c>
      <c r="D38" s="12" t="s">
        <v>171</v>
      </c>
      <c r="E38" s="15">
        <v>8.0</v>
      </c>
      <c r="F38" s="20">
        <v>2171.0</v>
      </c>
      <c r="G38" s="21">
        <f t="shared" si="19"/>
        <v>17368</v>
      </c>
      <c r="H38" s="15">
        <v>1.0</v>
      </c>
      <c r="I38" s="21">
        <f t="shared" si="20"/>
        <v>2171</v>
      </c>
      <c r="J38" s="23">
        <f t="shared" si="21"/>
        <v>17368</v>
      </c>
      <c r="K38" s="14">
        <v>0.15</v>
      </c>
      <c r="L38" s="22">
        <v>0.15</v>
      </c>
      <c r="M38" s="21">
        <f t="shared" si="22"/>
        <v>14762.8</v>
      </c>
      <c r="N38" s="21">
        <f t="shared" si="23"/>
        <v>19973.2</v>
      </c>
    </row>
    <row r="39" ht="18.0" customHeight="1">
      <c r="A39" s="1"/>
      <c r="B39" s="24" t="s">
        <v>133</v>
      </c>
      <c r="C39" s="3"/>
      <c r="D39" s="3"/>
      <c r="E39" s="3"/>
      <c r="F39" s="4"/>
      <c r="G39" s="23">
        <f>SUM(G36:G38)</f>
        <v>74368</v>
      </c>
      <c r="H39" s="1"/>
      <c r="I39" s="1"/>
      <c r="J39" s="23">
        <f>SUM(J36:J38)</f>
        <v>74368</v>
      </c>
      <c r="K39" s="1"/>
      <c r="L39" s="1"/>
      <c r="M39" s="23">
        <f t="shared" ref="M39:N39" si="24">SUM(M36:M38)</f>
        <v>63212.8</v>
      </c>
      <c r="N39" s="23">
        <f t="shared" si="24"/>
        <v>85523.2</v>
      </c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ht="15.0" customHeight="1">
      <c r="A41" s="25" t="s">
        <v>134</v>
      </c>
      <c r="B41" s="26" t="s">
        <v>184</v>
      </c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</row>
  </sheetData>
  <mergeCells count="14">
    <mergeCell ref="B21:N21"/>
    <mergeCell ref="A24:N24"/>
    <mergeCell ref="B29:F29"/>
    <mergeCell ref="B31:N31"/>
    <mergeCell ref="A34:N34"/>
    <mergeCell ref="B39:F39"/>
    <mergeCell ref="B41:N41"/>
    <mergeCell ref="A1:N1"/>
    <mergeCell ref="A2:N2"/>
    <mergeCell ref="A4:N4"/>
    <mergeCell ref="B9:F9"/>
    <mergeCell ref="B11:N11"/>
    <mergeCell ref="A14:N14"/>
    <mergeCell ref="B19:F19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4" width="11.0"/>
    <col customWidth="1" min="15" max="26" width="8.71"/>
  </cols>
  <sheetData>
    <row r="1" ht="24.75" customHeight="1">
      <c r="A1" s="2" t="s">
        <v>185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</row>
    <row r="2" ht="15.75" customHeight="1">
      <c r="A2" s="5" t="s">
        <v>186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ht="19.5" customHeight="1">
      <c r="A4" s="8" t="s">
        <v>187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4"/>
    </row>
    <row r="5" ht="23.25" customHeight="1">
      <c r="A5" s="19" t="s">
        <v>110</v>
      </c>
      <c r="B5" s="19" t="s">
        <v>111</v>
      </c>
      <c r="C5" s="19" t="s">
        <v>112</v>
      </c>
      <c r="D5" s="19" t="s">
        <v>113</v>
      </c>
      <c r="E5" s="19" t="s">
        <v>114</v>
      </c>
      <c r="F5" s="19" t="s">
        <v>115</v>
      </c>
      <c r="G5" s="19" t="s">
        <v>116</v>
      </c>
      <c r="H5" s="19" t="s">
        <v>117</v>
      </c>
      <c r="I5" s="19" t="s">
        <v>118</v>
      </c>
      <c r="J5" s="19" t="s">
        <v>119</v>
      </c>
      <c r="K5" s="19" t="s">
        <v>120</v>
      </c>
      <c r="L5" s="19" t="s">
        <v>121</v>
      </c>
      <c r="M5" s="19" t="s">
        <v>122</v>
      </c>
      <c r="N5" s="19" t="s">
        <v>123</v>
      </c>
    </row>
    <row r="6" ht="15.75" customHeight="1">
      <c r="A6" s="13">
        <v>1.0</v>
      </c>
      <c r="B6" s="12" t="s">
        <v>188</v>
      </c>
      <c r="C6" s="12" t="s">
        <v>131</v>
      </c>
      <c r="D6" s="12" t="s">
        <v>129</v>
      </c>
      <c r="E6" s="15">
        <v>0.012</v>
      </c>
      <c r="F6" s="20">
        <v>337367.0</v>
      </c>
      <c r="G6" s="21">
        <f t="shared" ref="G6:G10" si="1">E6*F6</f>
        <v>4048.404</v>
      </c>
      <c r="H6" s="15">
        <v>1.0</v>
      </c>
      <c r="I6" s="21">
        <f t="shared" ref="I6:I10" si="2">F6*H6</f>
        <v>337367</v>
      </c>
      <c r="J6" s="21">
        <f t="shared" ref="J6:J10" si="3">E6*I6</f>
        <v>4048.404</v>
      </c>
      <c r="K6" s="14">
        <v>1.0</v>
      </c>
      <c r="L6" s="22">
        <v>0.15</v>
      </c>
      <c r="M6" s="21">
        <f t="shared" ref="M6:M10" si="4">J6*(1-L6)</f>
        <v>3441.1434</v>
      </c>
      <c r="N6" s="21">
        <f t="shared" ref="N6:N10" si="5">J6*(1+L6)</f>
        <v>4655.6646</v>
      </c>
    </row>
    <row r="7" ht="15.75" customHeight="1">
      <c r="A7" s="13">
        <v>2.0</v>
      </c>
      <c r="B7" s="12" t="s">
        <v>189</v>
      </c>
      <c r="C7" s="12" t="s">
        <v>131</v>
      </c>
      <c r="D7" s="12" t="s">
        <v>190</v>
      </c>
      <c r="E7" s="15">
        <v>2.5</v>
      </c>
      <c r="F7" s="20">
        <v>2618.0</v>
      </c>
      <c r="G7" s="21">
        <f t="shared" si="1"/>
        <v>6545</v>
      </c>
      <c r="H7" s="15">
        <v>1.0</v>
      </c>
      <c r="I7" s="21">
        <f t="shared" si="2"/>
        <v>2618</v>
      </c>
      <c r="J7" s="21">
        <f t="shared" si="3"/>
        <v>6545</v>
      </c>
      <c r="K7" s="14">
        <v>1.0</v>
      </c>
      <c r="L7" s="22">
        <v>0.15</v>
      </c>
      <c r="M7" s="21">
        <f t="shared" si="4"/>
        <v>5563.25</v>
      </c>
      <c r="N7" s="21">
        <f t="shared" si="5"/>
        <v>7526.75</v>
      </c>
    </row>
    <row r="8" ht="15.75" customHeight="1">
      <c r="A8" s="13">
        <v>3.0</v>
      </c>
      <c r="B8" s="12" t="s">
        <v>191</v>
      </c>
      <c r="C8" s="12" t="s">
        <v>131</v>
      </c>
      <c r="D8" s="12" t="s">
        <v>132</v>
      </c>
      <c r="E8" s="15">
        <v>0.2</v>
      </c>
      <c r="F8" s="20">
        <v>40000.0</v>
      </c>
      <c r="G8" s="21">
        <f t="shared" si="1"/>
        <v>8000</v>
      </c>
      <c r="H8" s="15">
        <v>1.0</v>
      </c>
      <c r="I8" s="21">
        <f t="shared" si="2"/>
        <v>40000</v>
      </c>
      <c r="J8" s="21">
        <f t="shared" si="3"/>
        <v>8000</v>
      </c>
      <c r="K8" s="14">
        <v>1.0</v>
      </c>
      <c r="L8" s="22">
        <v>0.15</v>
      </c>
      <c r="M8" s="21">
        <f t="shared" si="4"/>
        <v>6800</v>
      </c>
      <c r="N8" s="21">
        <f t="shared" si="5"/>
        <v>9200</v>
      </c>
    </row>
    <row r="9" ht="15.75" customHeight="1">
      <c r="A9" s="13">
        <v>4.0</v>
      </c>
      <c r="B9" s="12" t="s">
        <v>192</v>
      </c>
      <c r="C9" s="12" t="s">
        <v>125</v>
      </c>
      <c r="D9" s="12" t="s">
        <v>126</v>
      </c>
      <c r="E9" s="15">
        <v>0.8</v>
      </c>
      <c r="F9" s="20">
        <v>17369.0</v>
      </c>
      <c r="G9" s="21">
        <f t="shared" si="1"/>
        <v>13895.2</v>
      </c>
      <c r="H9" s="15">
        <v>1.0</v>
      </c>
      <c r="I9" s="21">
        <f t="shared" si="2"/>
        <v>17369</v>
      </c>
      <c r="J9" s="21">
        <f t="shared" si="3"/>
        <v>13895.2</v>
      </c>
      <c r="K9" s="14">
        <v>0.15</v>
      </c>
      <c r="L9" s="22">
        <v>0.15</v>
      </c>
      <c r="M9" s="21">
        <f t="shared" si="4"/>
        <v>11810.92</v>
      </c>
      <c r="N9" s="21">
        <f t="shared" si="5"/>
        <v>15979.48</v>
      </c>
    </row>
    <row r="10" ht="15.75" customHeight="1">
      <c r="A10" s="13">
        <v>5.0</v>
      </c>
      <c r="B10" s="12" t="s">
        <v>193</v>
      </c>
      <c r="C10" s="12" t="s">
        <v>131</v>
      </c>
      <c r="D10" s="12" t="s">
        <v>132</v>
      </c>
      <c r="E10" s="15">
        <v>0.1</v>
      </c>
      <c r="F10" s="20">
        <v>1000.0</v>
      </c>
      <c r="G10" s="21">
        <f t="shared" si="1"/>
        <v>100</v>
      </c>
      <c r="H10" s="15">
        <v>1.0</v>
      </c>
      <c r="I10" s="21">
        <f t="shared" si="2"/>
        <v>1000</v>
      </c>
      <c r="J10" s="23">
        <f t="shared" si="3"/>
        <v>100</v>
      </c>
      <c r="K10" s="14">
        <v>1.0</v>
      </c>
      <c r="L10" s="22">
        <v>0.15</v>
      </c>
      <c r="M10" s="21">
        <f t="shared" si="4"/>
        <v>85</v>
      </c>
      <c r="N10" s="21">
        <f t="shared" si="5"/>
        <v>115</v>
      </c>
    </row>
    <row r="11" ht="18.0" customHeight="1">
      <c r="A11" s="1"/>
      <c r="B11" s="24" t="s">
        <v>133</v>
      </c>
      <c r="C11" s="3"/>
      <c r="D11" s="3"/>
      <c r="E11" s="3"/>
      <c r="F11" s="4"/>
      <c r="G11" s="23">
        <f>SUM(G6:G10)</f>
        <v>32588.604</v>
      </c>
      <c r="H11" s="1"/>
      <c r="I11" s="1"/>
      <c r="J11" s="23">
        <f>SUM(J6:J10)</f>
        <v>32588.604</v>
      </c>
      <c r="K11" s="1"/>
      <c r="L11" s="1"/>
      <c r="M11" s="23">
        <f t="shared" ref="M11:N11" si="6">SUM(M6:M10)</f>
        <v>27700.3134</v>
      </c>
      <c r="N11" s="23">
        <f t="shared" si="6"/>
        <v>37476.8946</v>
      </c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ht="15.0" customHeight="1">
      <c r="A13" s="25" t="s">
        <v>134</v>
      </c>
      <c r="B13" s="26" t="s">
        <v>194</v>
      </c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ht="19.5" customHeight="1">
      <c r="A16" s="8" t="s">
        <v>195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4"/>
    </row>
    <row r="17" ht="23.25" customHeight="1">
      <c r="A17" s="19" t="s">
        <v>110</v>
      </c>
      <c r="B17" s="19" t="s">
        <v>111</v>
      </c>
      <c r="C17" s="19" t="s">
        <v>112</v>
      </c>
      <c r="D17" s="19" t="s">
        <v>113</v>
      </c>
      <c r="E17" s="19" t="s">
        <v>114</v>
      </c>
      <c r="F17" s="19" t="s">
        <v>115</v>
      </c>
      <c r="G17" s="19" t="s">
        <v>116</v>
      </c>
      <c r="H17" s="19" t="s">
        <v>117</v>
      </c>
      <c r="I17" s="19" t="s">
        <v>118</v>
      </c>
      <c r="J17" s="19" t="s">
        <v>119</v>
      </c>
      <c r="K17" s="19" t="s">
        <v>120</v>
      </c>
      <c r="L17" s="19" t="s">
        <v>121</v>
      </c>
      <c r="M17" s="19" t="s">
        <v>122</v>
      </c>
      <c r="N17" s="19" t="s">
        <v>123</v>
      </c>
    </row>
    <row r="18" ht="15.75" customHeight="1">
      <c r="A18" s="13">
        <v>1.0</v>
      </c>
      <c r="B18" s="12" t="s">
        <v>196</v>
      </c>
      <c r="C18" s="12" t="s">
        <v>131</v>
      </c>
      <c r="D18" s="12" t="s">
        <v>129</v>
      </c>
      <c r="E18" s="15">
        <v>0.1</v>
      </c>
      <c r="F18" s="20">
        <v>337367.0</v>
      </c>
      <c r="G18" s="21">
        <f t="shared" ref="G18:G22" si="7">E18*F18</f>
        <v>33736.7</v>
      </c>
      <c r="H18" s="15">
        <v>1.0</v>
      </c>
      <c r="I18" s="21">
        <f t="shared" ref="I18:I22" si="8">F18*H18</f>
        <v>337367</v>
      </c>
      <c r="J18" s="21">
        <f t="shared" ref="J18:J22" si="9">E18*I18</f>
        <v>33736.7</v>
      </c>
      <c r="K18" s="14">
        <v>1.0</v>
      </c>
      <c r="L18" s="22">
        <v>0.15</v>
      </c>
      <c r="M18" s="21">
        <f t="shared" ref="M18:M22" si="10">J18*(1-L18)</f>
        <v>28676.195</v>
      </c>
      <c r="N18" s="21">
        <f t="shared" ref="N18:N22" si="11">J18*(1+L18)</f>
        <v>38797.205</v>
      </c>
    </row>
    <row r="19" ht="15.75" customHeight="1">
      <c r="A19" s="13">
        <v>2.0</v>
      </c>
      <c r="B19" s="12" t="s">
        <v>197</v>
      </c>
      <c r="C19" s="12" t="s">
        <v>131</v>
      </c>
      <c r="D19" s="12" t="s">
        <v>147</v>
      </c>
      <c r="E19" s="15">
        <v>1.05</v>
      </c>
      <c r="F19" s="20">
        <v>28000.0</v>
      </c>
      <c r="G19" s="21">
        <f t="shared" si="7"/>
        <v>29400</v>
      </c>
      <c r="H19" s="15">
        <v>1.0</v>
      </c>
      <c r="I19" s="21">
        <f t="shared" si="8"/>
        <v>28000</v>
      </c>
      <c r="J19" s="21">
        <f t="shared" si="9"/>
        <v>29400</v>
      </c>
      <c r="K19" s="14">
        <v>1.0</v>
      </c>
      <c r="L19" s="22">
        <v>0.15</v>
      </c>
      <c r="M19" s="21">
        <f t="shared" si="10"/>
        <v>24990</v>
      </c>
      <c r="N19" s="21">
        <f t="shared" si="11"/>
        <v>33810</v>
      </c>
    </row>
    <row r="20" ht="15.75" customHeight="1">
      <c r="A20" s="13">
        <v>3.0</v>
      </c>
      <c r="B20" s="12" t="s">
        <v>198</v>
      </c>
      <c r="C20" s="12" t="s">
        <v>131</v>
      </c>
      <c r="D20" s="12" t="s">
        <v>132</v>
      </c>
      <c r="E20" s="15">
        <v>0.15</v>
      </c>
      <c r="F20" s="20">
        <v>30000.0</v>
      </c>
      <c r="G20" s="21">
        <f t="shared" si="7"/>
        <v>4500</v>
      </c>
      <c r="H20" s="15">
        <v>1.0</v>
      </c>
      <c r="I20" s="21">
        <f t="shared" si="8"/>
        <v>30000</v>
      </c>
      <c r="J20" s="21">
        <f t="shared" si="9"/>
        <v>4500</v>
      </c>
      <c r="K20" s="14">
        <v>1.0</v>
      </c>
      <c r="L20" s="22">
        <v>0.15</v>
      </c>
      <c r="M20" s="21">
        <f t="shared" si="10"/>
        <v>3825</v>
      </c>
      <c r="N20" s="21">
        <f t="shared" si="11"/>
        <v>5175</v>
      </c>
    </row>
    <row r="21" ht="15.75" customHeight="1">
      <c r="A21" s="13">
        <v>4.0</v>
      </c>
      <c r="B21" s="12" t="s">
        <v>199</v>
      </c>
      <c r="C21" s="12" t="s">
        <v>125</v>
      </c>
      <c r="D21" s="12" t="s">
        <v>126</v>
      </c>
      <c r="E21" s="15">
        <v>0.35</v>
      </c>
      <c r="F21" s="20">
        <v>17369.0</v>
      </c>
      <c r="G21" s="21">
        <f t="shared" si="7"/>
        <v>6079.15</v>
      </c>
      <c r="H21" s="15">
        <v>1.0</v>
      </c>
      <c r="I21" s="21">
        <f t="shared" si="8"/>
        <v>17369</v>
      </c>
      <c r="J21" s="21">
        <f t="shared" si="9"/>
        <v>6079.15</v>
      </c>
      <c r="K21" s="14">
        <v>0.15</v>
      </c>
      <c r="L21" s="22">
        <v>0.15</v>
      </c>
      <c r="M21" s="21">
        <f t="shared" si="10"/>
        <v>5167.2775</v>
      </c>
      <c r="N21" s="21">
        <f t="shared" si="11"/>
        <v>6991.0225</v>
      </c>
    </row>
    <row r="22" ht="15.75" customHeight="1">
      <c r="A22" s="13">
        <v>5.0</v>
      </c>
      <c r="B22" s="12" t="s">
        <v>200</v>
      </c>
      <c r="C22" s="12" t="s">
        <v>140</v>
      </c>
      <c r="D22" s="12" t="s">
        <v>181</v>
      </c>
      <c r="E22" s="15">
        <v>0.05</v>
      </c>
      <c r="F22" s="20">
        <v>35000.0</v>
      </c>
      <c r="G22" s="21">
        <f t="shared" si="7"/>
        <v>1750</v>
      </c>
      <c r="H22" s="15">
        <v>1.0</v>
      </c>
      <c r="I22" s="21">
        <f t="shared" si="8"/>
        <v>35000</v>
      </c>
      <c r="J22" s="23">
        <f t="shared" si="9"/>
        <v>1750</v>
      </c>
      <c r="K22" s="14">
        <v>0.5</v>
      </c>
      <c r="L22" s="22">
        <v>0.15</v>
      </c>
      <c r="M22" s="21">
        <f t="shared" si="10"/>
        <v>1487.5</v>
      </c>
      <c r="N22" s="21">
        <f t="shared" si="11"/>
        <v>2012.5</v>
      </c>
    </row>
    <row r="23" ht="18.0" customHeight="1">
      <c r="A23" s="1"/>
      <c r="B23" s="24" t="s">
        <v>133</v>
      </c>
      <c r="C23" s="3"/>
      <c r="D23" s="3"/>
      <c r="E23" s="3"/>
      <c r="F23" s="4"/>
      <c r="G23" s="23">
        <f>SUM(G18:G22)</f>
        <v>75465.85</v>
      </c>
      <c r="H23" s="1"/>
      <c r="I23" s="1"/>
      <c r="J23" s="23">
        <f>SUM(J18:J22)</f>
        <v>75465.85</v>
      </c>
      <c r="K23" s="1"/>
      <c r="L23" s="1"/>
      <c r="M23" s="23">
        <f t="shared" ref="M23:N23" si="12">SUM(M18:M22)</f>
        <v>64145.9725</v>
      </c>
      <c r="N23" s="23">
        <f t="shared" si="12"/>
        <v>86785.7275</v>
      </c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ht="15.0" customHeight="1">
      <c r="A25" s="25" t="s">
        <v>134</v>
      </c>
      <c r="B25" s="26" t="s">
        <v>201</v>
      </c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ht="19.5" customHeight="1">
      <c r="A28" s="8" t="s">
        <v>202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4"/>
    </row>
    <row r="29" ht="23.25" customHeight="1">
      <c r="A29" s="19" t="s">
        <v>110</v>
      </c>
      <c r="B29" s="19" t="s">
        <v>111</v>
      </c>
      <c r="C29" s="19" t="s">
        <v>112</v>
      </c>
      <c r="D29" s="19" t="s">
        <v>113</v>
      </c>
      <c r="E29" s="19" t="s">
        <v>114</v>
      </c>
      <c r="F29" s="19" t="s">
        <v>115</v>
      </c>
      <c r="G29" s="19" t="s">
        <v>116</v>
      </c>
      <c r="H29" s="19" t="s">
        <v>117</v>
      </c>
      <c r="I29" s="19" t="s">
        <v>118</v>
      </c>
      <c r="J29" s="19" t="s">
        <v>119</v>
      </c>
      <c r="K29" s="19" t="s">
        <v>120</v>
      </c>
      <c r="L29" s="19" t="s">
        <v>121</v>
      </c>
      <c r="M29" s="19" t="s">
        <v>122</v>
      </c>
      <c r="N29" s="19" t="s">
        <v>123</v>
      </c>
    </row>
    <row r="30" ht="15.75" customHeight="1">
      <c r="A30" s="13">
        <v>1.0</v>
      </c>
      <c r="B30" s="12" t="s">
        <v>196</v>
      </c>
      <c r="C30" s="12" t="s">
        <v>131</v>
      </c>
      <c r="D30" s="12" t="s">
        <v>129</v>
      </c>
      <c r="E30" s="15">
        <v>0.85</v>
      </c>
      <c r="F30" s="20">
        <v>337367.0</v>
      </c>
      <c r="G30" s="21">
        <f t="shared" ref="G30:G34" si="13">E30*F30</f>
        <v>286761.95</v>
      </c>
      <c r="H30" s="15">
        <v>1.0</v>
      </c>
      <c r="I30" s="21">
        <f t="shared" ref="I30:I34" si="14">F30*H30</f>
        <v>337367</v>
      </c>
      <c r="J30" s="21">
        <f t="shared" ref="J30:J34" si="15">E30*I30</f>
        <v>286761.95</v>
      </c>
      <c r="K30" s="14">
        <v>1.0</v>
      </c>
      <c r="L30" s="22">
        <v>0.15</v>
      </c>
      <c r="M30" s="21">
        <f t="shared" ref="M30:M34" si="16">J30*(1-L30)</f>
        <v>243747.6575</v>
      </c>
      <c r="N30" s="21">
        <f t="shared" ref="N30:N34" si="17">J30*(1+L30)</f>
        <v>329776.2425</v>
      </c>
    </row>
    <row r="31" ht="15.75" customHeight="1">
      <c r="A31" s="13">
        <v>2.0</v>
      </c>
      <c r="B31" s="12" t="s">
        <v>203</v>
      </c>
      <c r="C31" s="12" t="s">
        <v>131</v>
      </c>
      <c r="D31" s="12" t="s">
        <v>190</v>
      </c>
      <c r="E31" s="15">
        <v>35.0</v>
      </c>
      <c r="F31" s="20">
        <v>2618.0</v>
      </c>
      <c r="G31" s="21">
        <f t="shared" si="13"/>
        <v>91630</v>
      </c>
      <c r="H31" s="15">
        <v>1.0</v>
      </c>
      <c r="I31" s="21">
        <f t="shared" si="14"/>
        <v>2618</v>
      </c>
      <c r="J31" s="21">
        <f t="shared" si="15"/>
        <v>91630</v>
      </c>
      <c r="K31" s="14">
        <v>1.0</v>
      </c>
      <c r="L31" s="22">
        <v>0.15</v>
      </c>
      <c r="M31" s="21">
        <f t="shared" si="16"/>
        <v>77885.5</v>
      </c>
      <c r="N31" s="21">
        <f t="shared" si="17"/>
        <v>105374.5</v>
      </c>
    </row>
    <row r="32" ht="15.75" customHeight="1">
      <c r="A32" s="13">
        <v>3.0</v>
      </c>
      <c r="B32" s="12" t="s">
        <v>204</v>
      </c>
      <c r="C32" s="12" t="s">
        <v>131</v>
      </c>
      <c r="D32" s="12" t="s">
        <v>129</v>
      </c>
      <c r="E32" s="15">
        <v>0.2</v>
      </c>
      <c r="F32" s="20">
        <v>45000.0</v>
      </c>
      <c r="G32" s="21">
        <f t="shared" si="13"/>
        <v>9000</v>
      </c>
      <c r="H32" s="15">
        <v>1.0</v>
      </c>
      <c r="I32" s="21">
        <f t="shared" si="14"/>
        <v>45000</v>
      </c>
      <c r="J32" s="21">
        <f t="shared" si="15"/>
        <v>9000</v>
      </c>
      <c r="K32" s="14">
        <v>1.0</v>
      </c>
      <c r="L32" s="22">
        <v>0.15</v>
      </c>
      <c r="M32" s="21">
        <f t="shared" si="16"/>
        <v>7650</v>
      </c>
      <c r="N32" s="21">
        <f t="shared" si="17"/>
        <v>10350</v>
      </c>
    </row>
    <row r="33" ht="15.75" customHeight="1">
      <c r="A33" s="13">
        <v>4.0</v>
      </c>
      <c r="B33" s="12" t="s">
        <v>205</v>
      </c>
      <c r="C33" s="12" t="s">
        <v>131</v>
      </c>
      <c r="D33" s="12" t="s">
        <v>155</v>
      </c>
      <c r="E33" s="15">
        <v>1.0</v>
      </c>
      <c r="F33" s="20">
        <v>150000.0</v>
      </c>
      <c r="G33" s="21">
        <f t="shared" si="13"/>
        <v>150000</v>
      </c>
      <c r="H33" s="15">
        <v>1.0</v>
      </c>
      <c r="I33" s="21">
        <f t="shared" si="14"/>
        <v>150000</v>
      </c>
      <c r="J33" s="21">
        <f t="shared" si="15"/>
        <v>150000</v>
      </c>
      <c r="K33" s="14">
        <v>1.0</v>
      </c>
      <c r="L33" s="22">
        <v>0.15</v>
      </c>
      <c r="M33" s="21">
        <f t="shared" si="16"/>
        <v>127500</v>
      </c>
      <c r="N33" s="21">
        <f t="shared" si="17"/>
        <v>172500</v>
      </c>
    </row>
    <row r="34" ht="15.75" customHeight="1">
      <c r="A34" s="13">
        <v>5.0</v>
      </c>
      <c r="B34" s="12" t="s">
        <v>206</v>
      </c>
      <c r="C34" s="12" t="s">
        <v>125</v>
      </c>
      <c r="D34" s="12" t="s">
        <v>126</v>
      </c>
      <c r="E34" s="15">
        <v>3.5</v>
      </c>
      <c r="F34" s="20">
        <v>17369.0</v>
      </c>
      <c r="G34" s="21">
        <f t="shared" si="13"/>
        <v>60791.5</v>
      </c>
      <c r="H34" s="15">
        <v>1.0</v>
      </c>
      <c r="I34" s="21">
        <f t="shared" si="14"/>
        <v>17369</v>
      </c>
      <c r="J34" s="23">
        <f t="shared" si="15"/>
        <v>60791.5</v>
      </c>
      <c r="K34" s="14">
        <v>0.15</v>
      </c>
      <c r="L34" s="22">
        <v>0.15</v>
      </c>
      <c r="M34" s="21">
        <f t="shared" si="16"/>
        <v>51672.775</v>
      </c>
      <c r="N34" s="21">
        <f t="shared" si="17"/>
        <v>69910.225</v>
      </c>
    </row>
    <row r="35" ht="18.0" customHeight="1">
      <c r="A35" s="1"/>
      <c r="B35" s="24" t="s">
        <v>133</v>
      </c>
      <c r="C35" s="3"/>
      <c r="D35" s="3"/>
      <c r="E35" s="3"/>
      <c r="F35" s="4"/>
      <c r="G35" s="23">
        <f>SUM(G30:G34)</f>
        <v>598183.45</v>
      </c>
      <c r="H35" s="1"/>
      <c r="I35" s="1"/>
      <c r="J35" s="23">
        <f>SUM(J30:J34)</f>
        <v>598183.45</v>
      </c>
      <c r="K35" s="1"/>
      <c r="L35" s="1"/>
      <c r="M35" s="23">
        <f t="shared" ref="M35:N35" si="18">SUM(M30:M34)</f>
        <v>508455.9325</v>
      </c>
      <c r="N35" s="23">
        <f t="shared" si="18"/>
        <v>687910.9675</v>
      </c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ht="15.0" customHeight="1">
      <c r="A37" s="25" t="s">
        <v>134</v>
      </c>
      <c r="B37" s="26" t="s">
        <v>207</v>
      </c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</row>
  </sheetData>
  <mergeCells count="11">
    <mergeCell ref="B25:N25"/>
    <mergeCell ref="A28:N28"/>
    <mergeCell ref="B35:F35"/>
    <mergeCell ref="B37:N37"/>
    <mergeCell ref="A1:N1"/>
    <mergeCell ref="A2:N2"/>
    <mergeCell ref="A4:N4"/>
    <mergeCell ref="B11:F11"/>
    <mergeCell ref="B13:N13"/>
    <mergeCell ref="A16:N16"/>
    <mergeCell ref="B23:F23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4" width="11.0"/>
    <col customWidth="1" min="15" max="26" width="8.71"/>
  </cols>
  <sheetData>
    <row r="1" ht="24.75" customHeight="1">
      <c r="A1" s="2" t="s">
        <v>208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</row>
    <row r="2" ht="15.75" customHeight="1">
      <c r="A2" s="5" t="s">
        <v>209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ht="19.5" customHeight="1">
      <c r="A4" s="8" t="s">
        <v>210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4"/>
    </row>
    <row r="5" ht="23.25" customHeight="1">
      <c r="A5" s="19" t="s">
        <v>110</v>
      </c>
      <c r="B5" s="19" t="s">
        <v>111</v>
      </c>
      <c r="C5" s="19" t="s">
        <v>112</v>
      </c>
      <c r="D5" s="19" t="s">
        <v>113</v>
      </c>
      <c r="E5" s="19" t="s">
        <v>114</v>
      </c>
      <c r="F5" s="19" t="s">
        <v>115</v>
      </c>
      <c r="G5" s="19" t="s">
        <v>116</v>
      </c>
      <c r="H5" s="19" t="s">
        <v>117</v>
      </c>
      <c r="I5" s="19" t="s">
        <v>118</v>
      </c>
      <c r="J5" s="19" t="s">
        <v>119</v>
      </c>
      <c r="K5" s="19" t="s">
        <v>120</v>
      </c>
      <c r="L5" s="19" t="s">
        <v>121</v>
      </c>
      <c r="M5" s="19" t="s">
        <v>122</v>
      </c>
      <c r="N5" s="19" t="s">
        <v>123</v>
      </c>
    </row>
    <row r="6" ht="15.75" customHeight="1">
      <c r="A6" s="13">
        <v>1.0</v>
      </c>
      <c r="B6" s="12" t="s">
        <v>211</v>
      </c>
      <c r="C6" s="12" t="s">
        <v>131</v>
      </c>
      <c r="D6" s="12" t="s">
        <v>155</v>
      </c>
      <c r="E6" s="15">
        <v>0.015</v>
      </c>
      <c r="F6" s="20">
        <v>21500.0</v>
      </c>
      <c r="G6" s="21">
        <f t="shared" ref="G6:G9" si="1">E6*F6</f>
        <v>322.5</v>
      </c>
      <c r="H6" s="15">
        <v>1.0</v>
      </c>
      <c r="I6" s="21">
        <f t="shared" ref="I6:I9" si="2">F6*H6</f>
        <v>21500</v>
      </c>
      <c r="J6" s="21">
        <f t="shared" ref="J6:J9" si="3">E6*I6</f>
        <v>322.5</v>
      </c>
      <c r="K6" s="14">
        <v>1.0</v>
      </c>
      <c r="L6" s="22">
        <v>0.15</v>
      </c>
      <c r="M6" s="21">
        <f t="shared" ref="M6:M9" si="4">J6*(1-L6)</f>
        <v>274.125</v>
      </c>
      <c r="N6" s="21">
        <f t="shared" ref="N6:N9" si="5">J6*(1+L6)</f>
        <v>370.875</v>
      </c>
    </row>
    <row r="7" ht="15.75" customHeight="1">
      <c r="A7" s="13">
        <v>2.0</v>
      </c>
      <c r="B7" s="12" t="s">
        <v>212</v>
      </c>
      <c r="C7" s="12" t="s">
        <v>131</v>
      </c>
      <c r="D7" s="12" t="s">
        <v>132</v>
      </c>
      <c r="E7" s="15">
        <v>0.08</v>
      </c>
      <c r="F7" s="20">
        <v>2618.0</v>
      </c>
      <c r="G7" s="21">
        <f t="shared" si="1"/>
        <v>209.44</v>
      </c>
      <c r="H7" s="15">
        <v>1.0</v>
      </c>
      <c r="I7" s="21">
        <f t="shared" si="2"/>
        <v>2618</v>
      </c>
      <c r="J7" s="21">
        <f t="shared" si="3"/>
        <v>209.44</v>
      </c>
      <c r="K7" s="14">
        <v>1.0</v>
      </c>
      <c r="L7" s="22">
        <v>0.15</v>
      </c>
      <c r="M7" s="21">
        <f t="shared" si="4"/>
        <v>178.024</v>
      </c>
      <c r="N7" s="21">
        <f t="shared" si="5"/>
        <v>240.856</v>
      </c>
    </row>
    <row r="8" ht="15.75" customHeight="1">
      <c r="A8" s="13">
        <v>3.0</v>
      </c>
      <c r="B8" s="12" t="s">
        <v>213</v>
      </c>
      <c r="C8" s="12" t="s">
        <v>125</v>
      </c>
      <c r="D8" s="12" t="s">
        <v>126</v>
      </c>
      <c r="E8" s="15">
        <v>0.05</v>
      </c>
      <c r="F8" s="20">
        <v>17369.0</v>
      </c>
      <c r="G8" s="21">
        <f t="shared" si="1"/>
        <v>868.45</v>
      </c>
      <c r="H8" s="15">
        <v>1.0</v>
      </c>
      <c r="I8" s="21">
        <f t="shared" si="2"/>
        <v>17369</v>
      </c>
      <c r="J8" s="21">
        <f t="shared" si="3"/>
        <v>868.45</v>
      </c>
      <c r="K8" s="14">
        <v>0.15</v>
      </c>
      <c r="L8" s="22">
        <v>0.15</v>
      </c>
      <c r="M8" s="21">
        <f t="shared" si="4"/>
        <v>738.1825</v>
      </c>
      <c r="N8" s="21">
        <f t="shared" si="5"/>
        <v>998.7175</v>
      </c>
    </row>
    <row r="9" ht="15.75" customHeight="1">
      <c r="A9" s="13">
        <v>4.0</v>
      </c>
      <c r="B9" s="12" t="s">
        <v>214</v>
      </c>
      <c r="C9" s="12" t="s">
        <v>131</v>
      </c>
      <c r="D9" s="12" t="s">
        <v>190</v>
      </c>
      <c r="E9" s="15">
        <v>0.02</v>
      </c>
      <c r="F9" s="20">
        <v>5000.0</v>
      </c>
      <c r="G9" s="21">
        <f t="shared" si="1"/>
        <v>100</v>
      </c>
      <c r="H9" s="15">
        <v>1.0</v>
      </c>
      <c r="I9" s="21">
        <f t="shared" si="2"/>
        <v>5000</v>
      </c>
      <c r="J9" s="23">
        <f t="shared" si="3"/>
        <v>100</v>
      </c>
      <c r="K9" s="14">
        <v>1.0</v>
      </c>
      <c r="L9" s="22">
        <v>0.15</v>
      </c>
      <c r="M9" s="21">
        <f t="shared" si="4"/>
        <v>85</v>
      </c>
      <c r="N9" s="21">
        <f t="shared" si="5"/>
        <v>115</v>
      </c>
    </row>
    <row r="10" ht="18.0" customHeight="1">
      <c r="A10" s="1"/>
      <c r="B10" s="24" t="s">
        <v>133</v>
      </c>
      <c r="C10" s="3"/>
      <c r="D10" s="3"/>
      <c r="E10" s="3"/>
      <c r="F10" s="4"/>
      <c r="G10" s="23">
        <f>SUM(G6:G9)</f>
        <v>1500.39</v>
      </c>
      <c r="H10" s="1"/>
      <c r="I10" s="1"/>
      <c r="J10" s="23">
        <f>SUM(J6:J9)</f>
        <v>1500.39</v>
      </c>
      <c r="K10" s="1"/>
      <c r="L10" s="1"/>
      <c r="M10" s="23">
        <f t="shared" ref="M10:N10" si="6">SUM(M6:M9)</f>
        <v>1275.3315</v>
      </c>
      <c r="N10" s="23">
        <f t="shared" si="6"/>
        <v>1725.4485</v>
      </c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ht="15.0" customHeight="1">
      <c r="A12" s="25" t="s">
        <v>134</v>
      </c>
      <c r="B12" s="26" t="s">
        <v>215</v>
      </c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ht="19.5" customHeight="1">
      <c r="A15" s="8" t="s">
        <v>216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4"/>
    </row>
    <row r="16" ht="23.25" customHeight="1">
      <c r="A16" s="19" t="s">
        <v>110</v>
      </c>
      <c r="B16" s="19" t="s">
        <v>111</v>
      </c>
      <c r="C16" s="19" t="s">
        <v>112</v>
      </c>
      <c r="D16" s="19" t="s">
        <v>113</v>
      </c>
      <c r="E16" s="19" t="s">
        <v>114</v>
      </c>
      <c r="F16" s="19" t="s">
        <v>115</v>
      </c>
      <c r="G16" s="19" t="s">
        <v>116</v>
      </c>
      <c r="H16" s="19" t="s">
        <v>117</v>
      </c>
      <c r="I16" s="19" t="s">
        <v>118</v>
      </c>
      <c r="J16" s="19" t="s">
        <v>119</v>
      </c>
      <c r="K16" s="19" t="s">
        <v>120</v>
      </c>
      <c r="L16" s="19" t="s">
        <v>121</v>
      </c>
      <c r="M16" s="19" t="s">
        <v>122</v>
      </c>
      <c r="N16" s="19" t="s">
        <v>123</v>
      </c>
    </row>
    <row r="17" ht="15.75" customHeight="1">
      <c r="A17" s="13">
        <v>1.0</v>
      </c>
      <c r="B17" s="12" t="s">
        <v>217</v>
      </c>
      <c r="C17" s="12" t="s">
        <v>131</v>
      </c>
      <c r="D17" s="12" t="s">
        <v>147</v>
      </c>
      <c r="E17" s="15">
        <v>1.0</v>
      </c>
      <c r="F17" s="20">
        <v>28000.0</v>
      </c>
      <c r="G17" s="21">
        <f t="shared" ref="G17:G19" si="7">E17*F17</f>
        <v>28000</v>
      </c>
      <c r="H17" s="15">
        <v>1.0</v>
      </c>
      <c r="I17" s="21">
        <f t="shared" ref="I17:I19" si="8">F17*H17</f>
        <v>28000</v>
      </c>
      <c r="J17" s="21">
        <f t="shared" ref="J17:J19" si="9">E17*I17</f>
        <v>28000</v>
      </c>
      <c r="K17" s="14">
        <v>1.0</v>
      </c>
      <c r="L17" s="22">
        <v>0.15</v>
      </c>
      <c r="M17" s="21">
        <f t="shared" ref="M17:M19" si="10">J17*(1-L17)</f>
        <v>23800</v>
      </c>
      <c r="N17" s="21">
        <f t="shared" ref="N17:N19" si="11">J17*(1+L17)</f>
        <v>32200</v>
      </c>
    </row>
    <row r="18" ht="15.75" customHeight="1">
      <c r="A18" s="13">
        <v>2.0</v>
      </c>
      <c r="B18" s="12" t="s">
        <v>218</v>
      </c>
      <c r="C18" s="12" t="s">
        <v>125</v>
      </c>
      <c r="D18" s="12" t="s">
        <v>126</v>
      </c>
      <c r="E18" s="15">
        <v>0.05</v>
      </c>
      <c r="F18" s="20">
        <v>17369.0</v>
      </c>
      <c r="G18" s="21">
        <f t="shared" si="7"/>
        <v>868.45</v>
      </c>
      <c r="H18" s="15">
        <v>1.0</v>
      </c>
      <c r="I18" s="21">
        <f t="shared" si="8"/>
        <v>17369</v>
      </c>
      <c r="J18" s="21">
        <f t="shared" si="9"/>
        <v>868.45</v>
      </c>
      <c r="K18" s="14">
        <v>0.15</v>
      </c>
      <c r="L18" s="22">
        <v>0.15</v>
      </c>
      <c r="M18" s="21">
        <f t="shared" si="10"/>
        <v>738.1825</v>
      </c>
      <c r="N18" s="21">
        <f t="shared" si="11"/>
        <v>998.7175</v>
      </c>
    </row>
    <row r="19" ht="15.75" customHeight="1">
      <c r="A19" s="13">
        <v>3.0</v>
      </c>
      <c r="B19" s="12" t="s">
        <v>219</v>
      </c>
      <c r="C19" s="12" t="s">
        <v>131</v>
      </c>
      <c r="D19" s="12" t="s">
        <v>190</v>
      </c>
      <c r="E19" s="15">
        <v>0.05</v>
      </c>
      <c r="F19" s="20">
        <v>5000.0</v>
      </c>
      <c r="G19" s="21">
        <f t="shared" si="7"/>
        <v>250</v>
      </c>
      <c r="H19" s="15">
        <v>1.0</v>
      </c>
      <c r="I19" s="21">
        <f t="shared" si="8"/>
        <v>5000</v>
      </c>
      <c r="J19" s="23">
        <f t="shared" si="9"/>
        <v>250</v>
      </c>
      <c r="K19" s="14">
        <v>1.0</v>
      </c>
      <c r="L19" s="22">
        <v>0.15</v>
      </c>
      <c r="M19" s="21">
        <f t="shared" si="10"/>
        <v>212.5</v>
      </c>
      <c r="N19" s="21">
        <f t="shared" si="11"/>
        <v>287.5</v>
      </c>
    </row>
    <row r="20" ht="18.0" customHeight="1">
      <c r="A20" s="1"/>
      <c r="B20" s="24" t="s">
        <v>133</v>
      </c>
      <c r="C20" s="3"/>
      <c r="D20" s="3"/>
      <c r="E20" s="3"/>
      <c r="F20" s="4"/>
      <c r="G20" s="23">
        <f>SUM(G17:G19)</f>
        <v>29118.45</v>
      </c>
      <c r="H20" s="1"/>
      <c r="I20" s="1"/>
      <c r="J20" s="23">
        <f>SUM(J17:J19)</f>
        <v>29118.45</v>
      </c>
      <c r="K20" s="1"/>
      <c r="L20" s="1"/>
      <c r="M20" s="23">
        <f t="shared" ref="M20:N20" si="12">SUM(M17:M19)</f>
        <v>24750.6825</v>
      </c>
      <c r="N20" s="23">
        <f t="shared" si="12"/>
        <v>33486.2175</v>
      </c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ht="15.0" customHeight="1">
      <c r="A22" s="25" t="s">
        <v>134</v>
      </c>
      <c r="B22" s="26" t="s">
        <v>220</v>
      </c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ht="19.5" customHeight="1">
      <c r="A25" s="8" t="s">
        <v>221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4"/>
    </row>
    <row r="26" ht="23.25" customHeight="1">
      <c r="A26" s="19" t="s">
        <v>110</v>
      </c>
      <c r="B26" s="19" t="s">
        <v>111</v>
      </c>
      <c r="C26" s="19" t="s">
        <v>112</v>
      </c>
      <c r="D26" s="19" t="s">
        <v>113</v>
      </c>
      <c r="E26" s="19" t="s">
        <v>114</v>
      </c>
      <c r="F26" s="19" t="s">
        <v>115</v>
      </c>
      <c r="G26" s="19" t="s">
        <v>116</v>
      </c>
      <c r="H26" s="19" t="s">
        <v>117</v>
      </c>
      <c r="I26" s="19" t="s">
        <v>118</v>
      </c>
      <c r="J26" s="19" t="s">
        <v>119</v>
      </c>
      <c r="K26" s="19" t="s">
        <v>120</v>
      </c>
      <c r="L26" s="19" t="s">
        <v>121</v>
      </c>
      <c r="M26" s="19" t="s">
        <v>122</v>
      </c>
      <c r="N26" s="19" t="s">
        <v>123</v>
      </c>
    </row>
    <row r="27" ht="15.75" customHeight="1">
      <c r="A27" s="13">
        <v>1.0</v>
      </c>
      <c r="B27" s="12" t="s">
        <v>222</v>
      </c>
      <c r="C27" s="12" t="s">
        <v>131</v>
      </c>
      <c r="D27" s="12" t="s">
        <v>190</v>
      </c>
      <c r="E27" s="15">
        <v>1.0</v>
      </c>
      <c r="F27" s="20">
        <v>3800.0</v>
      </c>
      <c r="G27" s="21">
        <f t="shared" ref="G27:G30" si="13">E27*F27</f>
        <v>3800</v>
      </c>
      <c r="H27" s="15">
        <v>1.0</v>
      </c>
      <c r="I27" s="21">
        <f t="shared" ref="I27:I30" si="14">F27*H27</f>
        <v>3800</v>
      </c>
      <c r="J27" s="21">
        <f t="shared" ref="J27:J30" si="15">E27*I27</f>
        <v>3800</v>
      </c>
      <c r="K27" s="14">
        <v>1.0</v>
      </c>
      <c r="L27" s="22">
        <v>0.15</v>
      </c>
      <c r="M27" s="21">
        <f t="shared" ref="M27:M30" si="16">J27*(1-L27)</f>
        <v>3230</v>
      </c>
      <c r="N27" s="21">
        <f t="shared" ref="N27:N30" si="17">J27*(1+L27)</f>
        <v>4370</v>
      </c>
    </row>
    <row r="28" ht="15.75" customHeight="1">
      <c r="A28" s="13">
        <v>2.0</v>
      </c>
      <c r="B28" s="12" t="s">
        <v>223</v>
      </c>
      <c r="C28" s="12" t="s">
        <v>131</v>
      </c>
      <c r="D28" s="12" t="s">
        <v>190</v>
      </c>
      <c r="E28" s="15">
        <v>0.15</v>
      </c>
      <c r="F28" s="20">
        <v>18000.0</v>
      </c>
      <c r="G28" s="21">
        <f t="shared" si="13"/>
        <v>2700</v>
      </c>
      <c r="H28" s="15">
        <v>1.0</v>
      </c>
      <c r="I28" s="21">
        <f t="shared" si="14"/>
        <v>18000</v>
      </c>
      <c r="J28" s="21">
        <f t="shared" si="15"/>
        <v>2700</v>
      </c>
      <c r="K28" s="14">
        <v>1.0</v>
      </c>
      <c r="L28" s="22">
        <v>0.15</v>
      </c>
      <c r="M28" s="21">
        <f t="shared" si="16"/>
        <v>2295</v>
      </c>
      <c r="N28" s="21">
        <f t="shared" si="17"/>
        <v>3105</v>
      </c>
    </row>
    <row r="29" ht="15.75" customHeight="1">
      <c r="A29" s="13">
        <v>3.0</v>
      </c>
      <c r="B29" s="12" t="s">
        <v>224</v>
      </c>
      <c r="C29" s="12" t="s">
        <v>125</v>
      </c>
      <c r="D29" s="12" t="s">
        <v>126</v>
      </c>
      <c r="E29" s="15">
        <v>0.3</v>
      </c>
      <c r="F29" s="20">
        <v>21000.0</v>
      </c>
      <c r="G29" s="21">
        <f t="shared" si="13"/>
        <v>6300</v>
      </c>
      <c r="H29" s="15">
        <v>1.0</v>
      </c>
      <c r="I29" s="21">
        <f t="shared" si="14"/>
        <v>21000</v>
      </c>
      <c r="J29" s="21">
        <f t="shared" si="15"/>
        <v>6300</v>
      </c>
      <c r="K29" s="14">
        <v>0.15</v>
      </c>
      <c r="L29" s="22">
        <v>0.15</v>
      </c>
      <c r="M29" s="21">
        <f t="shared" si="16"/>
        <v>5355</v>
      </c>
      <c r="N29" s="21">
        <f t="shared" si="17"/>
        <v>7245</v>
      </c>
    </row>
    <row r="30" ht="15.75" customHeight="1">
      <c r="A30" s="13">
        <v>4.0</v>
      </c>
      <c r="B30" s="12" t="s">
        <v>225</v>
      </c>
      <c r="C30" s="12" t="s">
        <v>140</v>
      </c>
      <c r="D30" s="12" t="s">
        <v>132</v>
      </c>
      <c r="E30" s="15">
        <v>0.05</v>
      </c>
      <c r="F30" s="20">
        <v>2000.0</v>
      </c>
      <c r="G30" s="21">
        <f t="shared" si="13"/>
        <v>100</v>
      </c>
      <c r="H30" s="15">
        <v>1.0</v>
      </c>
      <c r="I30" s="21">
        <f t="shared" si="14"/>
        <v>2000</v>
      </c>
      <c r="J30" s="23">
        <f t="shared" si="15"/>
        <v>100</v>
      </c>
      <c r="K30" s="14">
        <v>0.5</v>
      </c>
      <c r="L30" s="22">
        <v>0.15</v>
      </c>
      <c r="M30" s="21">
        <f t="shared" si="16"/>
        <v>85</v>
      </c>
      <c r="N30" s="21">
        <f t="shared" si="17"/>
        <v>115</v>
      </c>
    </row>
    <row r="31" ht="18.0" customHeight="1">
      <c r="A31" s="1"/>
      <c r="B31" s="24" t="s">
        <v>133</v>
      </c>
      <c r="C31" s="3"/>
      <c r="D31" s="3"/>
      <c r="E31" s="3"/>
      <c r="F31" s="4"/>
      <c r="G31" s="23">
        <f>SUM(G27:G30)</f>
        <v>12900</v>
      </c>
      <c r="H31" s="1"/>
      <c r="I31" s="1"/>
      <c r="J31" s="23">
        <f>SUM(J27:J30)</f>
        <v>12900</v>
      </c>
      <c r="K31" s="1"/>
      <c r="L31" s="1"/>
      <c r="M31" s="23">
        <f t="shared" ref="M31:N31" si="18">SUM(M27:M30)</f>
        <v>10965</v>
      </c>
      <c r="N31" s="23">
        <f t="shared" si="18"/>
        <v>14835</v>
      </c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ht="15.0" customHeight="1">
      <c r="A33" s="25" t="s">
        <v>134</v>
      </c>
      <c r="B33" s="26" t="s">
        <v>226</v>
      </c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</row>
  </sheetData>
  <mergeCells count="11">
    <mergeCell ref="B22:N22"/>
    <mergeCell ref="A25:N25"/>
    <mergeCell ref="B31:F31"/>
    <mergeCell ref="B33:N33"/>
    <mergeCell ref="A1:N1"/>
    <mergeCell ref="A2:N2"/>
    <mergeCell ref="A4:N4"/>
    <mergeCell ref="B10:F10"/>
    <mergeCell ref="B12:N12"/>
    <mergeCell ref="A15:N15"/>
    <mergeCell ref="B20:F20"/>
  </mergeCell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4" width="11.0"/>
    <col customWidth="1" min="15" max="26" width="8.71"/>
  </cols>
  <sheetData>
    <row r="1" ht="24.75" customHeight="1">
      <c r="A1" s="2" t="s">
        <v>227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</row>
    <row r="2" ht="15.75" customHeight="1">
      <c r="A2" s="5" t="s">
        <v>228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ht="19.5" customHeight="1">
      <c r="A4" s="8" t="s">
        <v>229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4"/>
    </row>
    <row r="5" ht="23.25" customHeight="1">
      <c r="A5" s="19" t="s">
        <v>110</v>
      </c>
      <c r="B5" s="19" t="s">
        <v>111</v>
      </c>
      <c r="C5" s="19" t="s">
        <v>112</v>
      </c>
      <c r="D5" s="19" t="s">
        <v>113</v>
      </c>
      <c r="E5" s="19" t="s">
        <v>114</v>
      </c>
      <c r="F5" s="19" t="s">
        <v>115</v>
      </c>
      <c r="G5" s="19" t="s">
        <v>116</v>
      </c>
      <c r="H5" s="19" t="s">
        <v>117</v>
      </c>
      <c r="I5" s="19" t="s">
        <v>118</v>
      </c>
      <c r="J5" s="19" t="s">
        <v>119</v>
      </c>
      <c r="K5" s="19" t="s">
        <v>120</v>
      </c>
      <c r="L5" s="19" t="s">
        <v>121</v>
      </c>
      <c r="M5" s="19" t="s">
        <v>122</v>
      </c>
      <c r="N5" s="19" t="s">
        <v>123</v>
      </c>
    </row>
    <row r="6" ht="15.75" customHeight="1">
      <c r="A6" s="13">
        <v>1.0</v>
      </c>
      <c r="B6" s="12" t="s">
        <v>230</v>
      </c>
      <c r="C6" s="12" t="s">
        <v>131</v>
      </c>
      <c r="D6" s="12" t="s">
        <v>155</v>
      </c>
      <c r="E6" s="15">
        <v>13.48</v>
      </c>
      <c r="F6" s="20">
        <v>2100.0</v>
      </c>
      <c r="G6" s="21">
        <f t="shared" ref="G6:G9" si="1">E6*F6</f>
        <v>28308</v>
      </c>
      <c r="H6" s="15">
        <v>1.0</v>
      </c>
      <c r="I6" s="21">
        <f t="shared" ref="I6:I9" si="2">F6*H6</f>
        <v>2100</v>
      </c>
      <c r="J6" s="21">
        <f t="shared" ref="J6:J9" si="3">E6*I6</f>
        <v>28308</v>
      </c>
      <c r="K6" s="14">
        <v>1.0</v>
      </c>
      <c r="L6" s="22">
        <v>0.15</v>
      </c>
      <c r="M6" s="21">
        <f t="shared" ref="M6:M9" si="4">J6*(1-L6)</f>
        <v>24061.8</v>
      </c>
      <c r="N6" s="21">
        <f t="shared" ref="N6:N9" si="5">J6*(1+L6)</f>
        <v>32554.2</v>
      </c>
    </row>
    <row r="7" ht="15.75" customHeight="1">
      <c r="A7" s="13">
        <v>2.0</v>
      </c>
      <c r="B7" s="12" t="s">
        <v>231</v>
      </c>
      <c r="C7" s="12" t="s">
        <v>131</v>
      </c>
      <c r="D7" s="12" t="s">
        <v>129</v>
      </c>
      <c r="E7" s="15">
        <v>0.01</v>
      </c>
      <c r="F7" s="20">
        <v>245000.0</v>
      </c>
      <c r="G7" s="21">
        <f t="shared" si="1"/>
        <v>2450</v>
      </c>
      <c r="H7" s="15">
        <v>1.0</v>
      </c>
      <c r="I7" s="21">
        <f t="shared" si="2"/>
        <v>245000</v>
      </c>
      <c r="J7" s="21">
        <f t="shared" si="3"/>
        <v>2450</v>
      </c>
      <c r="K7" s="14">
        <v>1.0</v>
      </c>
      <c r="L7" s="22">
        <v>0.15</v>
      </c>
      <c r="M7" s="21">
        <f t="shared" si="4"/>
        <v>2082.5</v>
      </c>
      <c r="N7" s="21">
        <f t="shared" si="5"/>
        <v>2817.5</v>
      </c>
    </row>
    <row r="8" ht="15.75" customHeight="1">
      <c r="A8" s="13">
        <v>3.0</v>
      </c>
      <c r="B8" s="12" t="s">
        <v>232</v>
      </c>
      <c r="C8" s="12" t="s">
        <v>125</v>
      </c>
      <c r="D8" s="12" t="s">
        <v>126</v>
      </c>
      <c r="E8" s="15">
        <v>0.5</v>
      </c>
      <c r="F8" s="20">
        <v>17369.0</v>
      </c>
      <c r="G8" s="21">
        <f t="shared" si="1"/>
        <v>8684.5</v>
      </c>
      <c r="H8" s="15">
        <v>1.0</v>
      </c>
      <c r="I8" s="21">
        <f t="shared" si="2"/>
        <v>17369</v>
      </c>
      <c r="J8" s="21">
        <f t="shared" si="3"/>
        <v>8684.5</v>
      </c>
      <c r="K8" s="14">
        <v>0.15</v>
      </c>
      <c r="L8" s="22">
        <v>0.15</v>
      </c>
      <c r="M8" s="21">
        <f t="shared" si="4"/>
        <v>7381.825</v>
      </c>
      <c r="N8" s="21">
        <f t="shared" si="5"/>
        <v>9987.175</v>
      </c>
    </row>
    <row r="9" ht="15.75" customHeight="1">
      <c r="A9" s="13">
        <v>4.0</v>
      </c>
      <c r="B9" s="12" t="s">
        <v>193</v>
      </c>
      <c r="C9" s="12" t="s">
        <v>131</v>
      </c>
      <c r="D9" s="12" t="s">
        <v>132</v>
      </c>
      <c r="E9" s="15">
        <v>0.05</v>
      </c>
      <c r="F9" s="20">
        <v>1000.0</v>
      </c>
      <c r="G9" s="21">
        <f t="shared" si="1"/>
        <v>50</v>
      </c>
      <c r="H9" s="15">
        <v>1.0</v>
      </c>
      <c r="I9" s="21">
        <f t="shared" si="2"/>
        <v>1000</v>
      </c>
      <c r="J9" s="23">
        <f t="shared" si="3"/>
        <v>50</v>
      </c>
      <c r="K9" s="14">
        <v>1.0</v>
      </c>
      <c r="L9" s="22">
        <v>0.15</v>
      </c>
      <c r="M9" s="21">
        <f t="shared" si="4"/>
        <v>42.5</v>
      </c>
      <c r="N9" s="21">
        <f t="shared" si="5"/>
        <v>57.5</v>
      </c>
    </row>
    <row r="10" ht="18.0" customHeight="1">
      <c r="A10" s="1"/>
      <c r="B10" s="24" t="s">
        <v>133</v>
      </c>
      <c r="C10" s="3"/>
      <c r="D10" s="3"/>
      <c r="E10" s="3"/>
      <c r="F10" s="4"/>
      <c r="G10" s="23">
        <f>SUM(G6:G9)</f>
        <v>39492.5</v>
      </c>
      <c r="H10" s="1"/>
      <c r="I10" s="1"/>
      <c r="J10" s="23">
        <f>SUM(J6:J9)</f>
        <v>39492.5</v>
      </c>
      <c r="K10" s="1"/>
      <c r="L10" s="1"/>
      <c r="M10" s="23">
        <f t="shared" ref="M10:N10" si="6">SUM(M6:M9)</f>
        <v>33568.625</v>
      </c>
      <c r="N10" s="23">
        <f t="shared" si="6"/>
        <v>45416.375</v>
      </c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ht="15.0" customHeight="1">
      <c r="A12" s="25" t="s">
        <v>134</v>
      </c>
      <c r="B12" s="26" t="s">
        <v>233</v>
      </c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ht="19.5" customHeight="1">
      <c r="A15" s="8" t="s">
        <v>234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4"/>
    </row>
    <row r="16" ht="23.25" customHeight="1">
      <c r="A16" s="19" t="s">
        <v>110</v>
      </c>
      <c r="B16" s="19" t="s">
        <v>111</v>
      </c>
      <c r="C16" s="19" t="s">
        <v>112</v>
      </c>
      <c r="D16" s="19" t="s">
        <v>113</v>
      </c>
      <c r="E16" s="19" t="s">
        <v>114</v>
      </c>
      <c r="F16" s="19" t="s">
        <v>115</v>
      </c>
      <c r="G16" s="19" t="s">
        <v>116</v>
      </c>
      <c r="H16" s="19" t="s">
        <v>117</v>
      </c>
      <c r="I16" s="19" t="s">
        <v>118</v>
      </c>
      <c r="J16" s="19" t="s">
        <v>119</v>
      </c>
      <c r="K16" s="19" t="s">
        <v>120</v>
      </c>
      <c r="L16" s="19" t="s">
        <v>121</v>
      </c>
      <c r="M16" s="19" t="s">
        <v>122</v>
      </c>
      <c r="N16" s="19" t="s">
        <v>123</v>
      </c>
    </row>
    <row r="17" ht="15.75" customHeight="1">
      <c r="A17" s="13">
        <v>1.0</v>
      </c>
      <c r="B17" s="12" t="s">
        <v>235</v>
      </c>
      <c r="C17" s="12" t="s">
        <v>131</v>
      </c>
      <c r="D17" s="12" t="s">
        <v>155</v>
      </c>
      <c r="E17" s="15">
        <v>61.5</v>
      </c>
      <c r="F17" s="20">
        <v>680.0</v>
      </c>
      <c r="G17" s="21">
        <f t="shared" ref="G17:G20" si="7">E17*F17</f>
        <v>41820</v>
      </c>
      <c r="H17" s="15">
        <v>1.0</v>
      </c>
      <c r="I17" s="21">
        <f t="shared" ref="I17:I20" si="8">F17*H17</f>
        <v>680</v>
      </c>
      <c r="J17" s="21">
        <f t="shared" ref="J17:J20" si="9">E17*I17</f>
        <v>41820</v>
      </c>
      <c r="K17" s="14">
        <v>1.0</v>
      </c>
      <c r="L17" s="22">
        <v>0.15</v>
      </c>
      <c r="M17" s="21">
        <f t="shared" ref="M17:M20" si="10">J17*(1-L17)</f>
        <v>35547</v>
      </c>
      <c r="N17" s="21">
        <f t="shared" ref="N17:N20" si="11">J17*(1+L17)</f>
        <v>48093</v>
      </c>
    </row>
    <row r="18" ht="15.75" customHeight="1">
      <c r="A18" s="13">
        <v>2.0</v>
      </c>
      <c r="B18" s="12" t="s">
        <v>236</v>
      </c>
      <c r="C18" s="12" t="s">
        <v>131</v>
      </c>
      <c r="D18" s="12" t="s">
        <v>129</v>
      </c>
      <c r="E18" s="15">
        <v>0.015</v>
      </c>
      <c r="F18" s="20">
        <v>280000.0</v>
      </c>
      <c r="G18" s="21">
        <f t="shared" si="7"/>
        <v>4200</v>
      </c>
      <c r="H18" s="15">
        <v>1.0</v>
      </c>
      <c r="I18" s="21">
        <f t="shared" si="8"/>
        <v>280000</v>
      </c>
      <c r="J18" s="21">
        <f t="shared" si="9"/>
        <v>4200</v>
      </c>
      <c r="K18" s="14">
        <v>1.0</v>
      </c>
      <c r="L18" s="22">
        <v>0.15</v>
      </c>
      <c r="M18" s="21">
        <f t="shared" si="10"/>
        <v>3570</v>
      </c>
      <c r="N18" s="21">
        <f t="shared" si="11"/>
        <v>4830</v>
      </c>
    </row>
    <row r="19" ht="15.75" customHeight="1">
      <c r="A19" s="13">
        <v>3.0</v>
      </c>
      <c r="B19" s="12" t="s">
        <v>237</v>
      </c>
      <c r="C19" s="12" t="s">
        <v>125</v>
      </c>
      <c r="D19" s="12" t="s">
        <v>126</v>
      </c>
      <c r="E19" s="15">
        <v>1.25</v>
      </c>
      <c r="F19" s="20">
        <v>17369.0</v>
      </c>
      <c r="G19" s="21">
        <f t="shared" si="7"/>
        <v>21711.25</v>
      </c>
      <c r="H19" s="15">
        <v>1.0</v>
      </c>
      <c r="I19" s="21">
        <f t="shared" si="8"/>
        <v>17369</v>
      </c>
      <c r="J19" s="21">
        <f t="shared" si="9"/>
        <v>21711.25</v>
      </c>
      <c r="K19" s="14">
        <v>0.15</v>
      </c>
      <c r="L19" s="22">
        <v>0.15</v>
      </c>
      <c r="M19" s="21">
        <f t="shared" si="10"/>
        <v>18454.5625</v>
      </c>
      <c r="N19" s="21">
        <f t="shared" si="11"/>
        <v>24967.9375</v>
      </c>
    </row>
    <row r="20" ht="15.75" customHeight="1">
      <c r="A20" s="13">
        <v>4.0</v>
      </c>
      <c r="B20" s="12" t="s">
        <v>238</v>
      </c>
      <c r="C20" s="12" t="s">
        <v>140</v>
      </c>
      <c r="D20" s="12" t="s">
        <v>181</v>
      </c>
      <c r="E20" s="15">
        <v>0.1</v>
      </c>
      <c r="F20" s="20">
        <v>25000.0</v>
      </c>
      <c r="G20" s="21">
        <f t="shared" si="7"/>
        <v>2500</v>
      </c>
      <c r="H20" s="15">
        <v>1.0</v>
      </c>
      <c r="I20" s="21">
        <f t="shared" si="8"/>
        <v>25000</v>
      </c>
      <c r="J20" s="23">
        <f t="shared" si="9"/>
        <v>2500</v>
      </c>
      <c r="K20" s="14">
        <v>0.5</v>
      </c>
      <c r="L20" s="22">
        <v>0.15</v>
      </c>
      <c r="M20" s="21">
        <f t="shared" si="10"/>
        <v>2125</v>
      </c>
      <c r="N20" s="21">
        <f t="shared" si="11"/>
        <v>2875</v>
      </c>
    </row>
    <row r="21" ht="18.0" customHeight="1">
      <c r="A21" s="1"/>
      <c r="B21" s="24" t="s">
        <v>133</v>
      </c>
      <c r="C21" s="3"/>
      <c r="D21" s="3"/>
      <c r="E21" s="3"/>
      <c r="F21" s="4"/>
      <c r="G21" s="23">
        <f>SUM(G17:G20)</f>
        <v>70231.25</v>
      </c>
      <c r="H21" s="1"/>
      <c r="I21" s="1"/>
      <c r="J21" s="23">
        <f>SUM(J17:J20)</f>
        <v>70231.25</v>
      </c>
      <c r="K21" s="1"/>
      <c r="L21" s="1"/>
      <c r="M21" s="23">
        <f t="shared" ref="M21:N21" si="12">SUM(M17:M20)</f>
        <v>59696.5625</v>
      </c>
      <c r="N21" s="23">
        <f t="shared" si="12"/>
        <v>80765.9375</v>
      </c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ht="15.0" customHeight="1">
      <c r="A23" s="25" t="s">
        <v>134</v>
      </c>
      <c r="B23" s="26" t="s">
        <v>239</v>
      </c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ht="19.5" customHeight="1">
      <c r="A26" s="8" t="s">
        <v>240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4"/>
    </row>
    <row r="27" ht="23.25" customHeight="1">
      <c r="A27" s="19" t="s">
        <v>110</v>
      </c>
      <c r="B27" s="19" t="s">
        <v>111</v>
      </c>
      <c r="C27" s="19" t="s">
        <v>112</v>
      </c>
      <c r="D27" s="19" t="s">
        <v>113</v>
      </c>
      <c r="E27" s="19" t="s">
        <v>114</v>
      </c>
      <c r="F27" s="19" t="s">
        <v>115</v>
      </c>
      <c r="G27" s="19" t="s">
        <v>116</v>
      </c>
      <c r="H27" s="19" t="s">
        <v>117</v>
      </c>
      <c r="I27" s="19" t="s">
        <v>118</v>
      </c>
      <c r="J27" s="19" t="s">
        <v>119</v>
      </c>
      <c r="K27" s="19" t="s">
        <v>120</v>
      </c>
      <c r="L27" s="19" t="s">
        <v>121</v>
      </c>
      <c r="M27" s="19" t="s">
        <v>122</v>
      </c>
      <c r="N27" s="19" t="s">
        <v>123</v>
      </c>
    </row>
    <row r="28" ht="15.75" customHeight="1">
      <c r="A28" s="13">
        <v>1.0</v>
      </c>
      <c r="B28" s="12" t="s">
        <v>196</v>
      </c>
      <c r="C28" s="12" t="s">
        <v>131</v>
      </c>
      <c r="D28" s="12" t="s">
        <v>129</v>
      </c>
      <c r="E28" s="15">
        <v>0.024</v>
      </c>
      <c r="F28" s="20">
        <v>337367.0</v>
      </c>
      <c r="G28" s="21">
        <f t="shared" ref="G28:G31" si="13">E28*F28</f>
        <v>8096.808</v>
      </c>
      <c r="H28" s="15">
        <v>1.0</v>
      </c>
      <c r="I28" s="21">
        <f t="shared" ref="I28:I31" si="14">F28*H28</f>
        <v>337367</v>
      </c>
      <c r="J28" s="21">
        <f t="shared" ref="J28:J31" si="15">E28*I28</f>
        <v>8096.808</v>
      </c>
      <c r="K28" s="14">
        <v>1.0</v>
      </c>
      <c r="L28" s="22">
        <v>0.15</v>
      </c>
      <c r="M28" s="21">
        <f t="shared" ref="M28:M31" si="16">J28*(1-L28)</f>
        <v>6882.2868</v>
      </c>
      <c r="N28" s="21">
        <f t="shared" ref="N28:N31" si="17">J28*(1+L28)</f>
        <v>9311.3292</v>
      </c>
    </row>
    <row r="29" ht="15.75" customHeight="1">
      <c r="A29" s="13">
        <v>2.0</v>
      </c>
      <c r="B29" s="12" t="s">
        <v>241</v>
      </c>
      <c r="C29" s="12" t="s">
        <v>131</v>
      </c>
      <c r="D29" s="12" t="s">
        <v>190</v>
      </c>
      <c r="E29" s="15">
        <v>1.8</v>
      </c>
      <c r="F29" s="20">
        <v>2618.0</v>
      </c>
      <c r="G29" s="21">
        <f t="shared" si="13"/>
        <v>4712.4</v>
      </c>
      <c r="H29" s="15">
        <v>1.0</v>
      </c>
      <c r="I29" s="21">
        <f t="shared" si="14"/>
        <v>2618</v>
      </c>
      <c r="J29" s="21">
        <f t="shared" si="15"/>
        <v>4712.4</v>
      </c>
      <c r="K29" s="14">
        <v>1.0</v>
      </c>
      <c r="L29" s="22">
        <v>0.15</v>
      </c>
      <c r="M29" s="21">
        <f t="shared" si="16"/>
        <v>4005.54</v>
      </c>
      <c r="N29" s="21">
        <f t="shared" si="17"/>
        <v>5419.26</v>
      </c>
    </row>
    <row r="30" ht="15.75" customHeight="1">
      <c r="A30" s="13">
        <v>3.0</v>
      </c>
      <c r="B30" s="12" t="s">
        <v>242</v>
      </c>
      <c r="C30" s="12" t="s">
        <v>131</v>
      </c>
      <c r="D30" s="12" t="s">
        <v>132</v>
      </c>
      <c r="E30" s="15">
        <v>0.25</v>
      </c>
      <c r="F30" s="20">
        <v>35000.0</v>
      </c>
      <c r="G30" s="21">
        <f t="shared" si="13"/>
        <v>8750</v>
      </c>
      <c r="H30" s="15">
        <v>1.0</v>
      </c>
      <c r="I30" s="21">
        <f t="shared" si="14"/>
        <v>35000</v>
      </c>
      <c r="J30" s="21">
        <f t="shared" si="15"/>
        <v>8750</v>
      </c>
      <c r="K30" s="14">
        <v>1.0</v>
      </c>
      <c r="L30" s="22">
        <v>0.15</v>
      </c>
      <c r="M30" s="21">
        <f t="shared" si="16"/>
        <v>7437.5</v>
      </c>
      <c r="N30" s="21">
        <f t="shared" si="17"/>
        <v>10062.5</v>
      </c>
    </row>
    <row r="31" ht="15.75" customHeight="1">
      <c r="A31" s="13">
        <v>4.0</v>
      </c>
      <c r="B31" s="12" t="s">
        <v>243</v>
      </c>
      <c r="C31" s="12" t="s">
        <v>125</v>
      </c>
      <c r="D31" s="12" t="s">
        <v>126</v>
      </c>
      <c r="E31" s="15">
        <v>1.3</v>
      </c>
      <c r="F31" s="20">
        <v>17369.0</v>
      </c>
      <c r="G31" s="21">
        <f t="shared" si="13"/>
        <v>22579.7</v>
      </c>
      <c r="H31" s="15">
        <v>1.0</v>
      </c>
      <c r="I31" s="21">
        <f t="shared" si="14"/>
        <v>17369</v>
      </c>
      <c r="J31" s="23">
        <f t="shared" si="15"/>
        <v>22579.7</v>
      </c>
      <c r="K31" s="14">
        <v>0.15</v>
      </c>
      <c r="L31" s="22">
        <v>0.15</v>
      </c>
      <c r="M31" s="21">
        <f t="shared" si="16"/>
        <v>19192.745</v>
      </c>
      <c r="N31" s="21">
        <f t="shared" si="17"/>
        <v>25966.655</v>
      </c>
    </row>
    <row r="32" ht="18.0" customHeight="1">
      <c r="A32" s="1"/>
      <c r="B32" s="24" t="s">
        <v>133</v>
      </c>
      <c r="C32" s="3"/>
      <c r="D32" s="3"/>
      <c r="E32" s="3"/>
      <c r="F32" s="4"/>
      <c r="G32" s="23">
        <f>SUM(G28:G31)</f>
        <v>44138.908</v>
      </c>
      <c r="H32" s="1"/>
      <c r="I32" s="1"/>
      <c r="J32" s="23">
        <f>SUM(J28:J31)</f>
        <v>44138.908</v>
      </c>
      <c r="K32" s="1"/>
      <c r="L32" s="1"/>
      <c r="M32" s="23">
        <f t="shared" ref="M32:N32" si="18">SUM(M28:M31)</f>
        <v>37518.0718</v>
      </c>
      <c r="N32" s="23">
        <f t="shared" si="18"/>
        <v>50759.7442</v>
      </c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ht="15.0" customHeight="1">
      <c r="A34" s="25" t="s">
        <v>134</v>
      </c>
      <c r="B34" s="26" t="s">
        <v>244</v>
      </c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</row>
  </sheetData>
  <mergeCells count="11">
    <mergeCell ref="B23:N23"/>
    <mergeCell ref="A26:N26"/>
    <mergeCell ref="B32:F32"/>
    <mergeCell ref="B34:N34"/>
    <mergeCell ref="A1:N1"/>
    <mergeCell ref="A2:N2"/>
    <mergeCell ref="A4:N4"/>
    <mergeCell ref="B10:F10"/>
    <mergeCell ref="B12:N12"/>
    <mergeCell ref="A15:N15"/>
    <mergeCell ref="B21:F21"/>
  </mergeCell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4" width="11.0"/>
    <col customWidth="1" min="15" max="26" width="8.71"/>
  </cols>
  <sheetData>
    <row r="1" ht="24.75" customHeight="1">
      <c r="A1" s="2" t="s">
        <v>245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</row>
    <row r="2" ht="15.75" customHeight="1">
      <c r="A2" s="5" t="s">
        <v>246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ht="19.5" customHeight="1">
      <c r="A4" s="8" t="s">
        <v>247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4"/>
    </row>
    <row r="5" ht="23.25" customHeight="1">
      <c r="A5" s="19" t="s">
        <v>110</v>
      </c>
      <c r="B5" s="19" t="s">
        <v>111</v>
      </c>
      <c r="C5" s="19" t="s">
        <v>112</v>
      </c>
      <c r="D5" s="19" t="s">
        <v>113</v>
      </c>
      <c r="E5" s="19" t="s">
        <v>114</v>
      </c>
      <c r="F5" s="19" t="s">
        <v>115</v>
      </c>
      <c r="G5" s="19" t="s">
        <v>116</v>
      </c>
      <c r="H5" s="19" t="s">
        <v>117</v>
      </c>
      <c r="I5" s="19" t="s">
        <v>118</v>
      </c>
      <c r="J5" s="19" t="s">
        <v>119</v>
      </c>
      <c r="K5" s="19" t="s">
        <v>120</v>
      </c>
      <c r="L5" s="19" t="s">
        <v>121</v>
      </c>
      <c r="M5" s="19" t="s">
        <v>122</v>
      </c>
      <c r="N5" s="19" t="s">
        <v>123</v>
      </c>
    </row>
    <row r="6" ht="15.75" customHeight="1">
      <c r="A6" s="13">
        <v>1.0</v>
      </c>
      <c r="B6" s="12" t="s">
        <v>248</v>
      </c>
      <c r="C6" s="12" t="s">
        <v>131</v>
      </c>
      <c r="D6" s="12" t="s">
        <v>153</v>
      </c>
      <c r="E6" s="15">
        <v>1.0</v>
      </c>
      <c r="F6" s="20">
        <v>8500.0</v>
      </c>
      <c r="G6" s="21">
        <f t="shared" ref="G6:G9" si="1">E6*F6</f>
        <v>8500</v>
      </c>
      <c r="H6" s="15">
        <v>1.0</v>
      </c>
      <c r="I6" s="21">
        <f t="shared" ref="I6:I9" si="2">F6*H6</f>
        <v>8500</v>
      </c>
      <c r="J6" s="21">
        <f t="shared" ref="J6:J9" si="3">E6*I6</f>
        <v>8500</v>
      </c>
      <c r="K6" s="14">
        <v>1.0</v>
      </c>
      <c r="L6" s="22">
        <v>0.15</v>
      </c>
      <c r="M6" s="21">
        <f t="shared" ref="M6:M9" si="4">J6*(1-L6)</f>
        <v>7225</v>
      </c>
      <c r="N6" s="21">
        <f t="shared" ref="N6:N9" si="5">J6*(1+L6)</f>
        <v>9775</v>
      </c>
    </row>
    <row r="7" ht="15.75" customHeight="1">
      <c r="A7" s="13">
        <v>2.0</v>
      </c>
      <c r="B7" s="12" t="s">
        <v>249</v>
      </c>
      <c r="C7" s="12" t="s">
        <v>131</v>
      </c>
      <c r="D7" s="12" t="s">
        <v>132</v>
      </c>
      <c r="E7" s="15">
        <v>0.15</v>
      </c>
      <c r="F7" s="20">
        <v>1275.0</v>
      </c>
      <c r="G7" s="21">
        <f t="shared" si="1"/>
        <v>191.25</v>
      </c>
      <c r="H7" s="15">
        <v>1.0</v>
      </c>
      <c r="I7" s="21">
        <f t="shared" si="2"/>
        <v>1275</v>
      </c>
      <c r="J7" s="21">
        <f t="shared" si="3"/>
        <v>191.25</v>
      </c>
      <c r="K7" s="14">
        <v>1.0</v>
      </c>
      <c r="L7" s="22">
        <v>0.15</v>
      </c>
      <c r="M7" s="21">
        <f t="shared" si="4"/>
        <v>162.5625</v>
      </c>
      <c r="N7" s="21">
        <f t="shared" si="5"/>
        <v>219.9375</v>
      </c>
    </row>
    <row r="8" ht="15.75" customHeight="1">
      <c r="A8" s="13">
        <v>3.0</v>
      </c>
      <c r="B8" s="12" t="s">
        <v>250</v>
      </c>
      <c r="C8" s="12" t="s">
        <v>125</v>
      </c>
      <c r="D8" s="12" t="s">
        <v>126</v>
      </c>
      <c r="E8" s="15">
        <v>0.08</v>
      </c>
      <c r="F8" s="20">
        <v>17369.0</v>
      </c>
      <c r="G8" s="21">
        <f t="shared" si="1"/>
        <v>1389.52</v>
      </c>
      <c r="H8" s="15">
        <v>1.0</v>
      </c>
      <c r="I8" s="21">
        <f t="shared" si="2"/>
        <v>17369</v>
      </c>
      <c r="J8" s="21">
        <f t="shared" si="3"/>
        <v>1389.52</v>
      </c>
      <c r="K8" s="14">
        <v>0.15</v>
      </c>
      <c r="L8" s="22">
        <v>0.15</v>
      </c>
      <c r="M8" s="21">
        <f t="shared" si="4"/>
        <v>1181.092</v>
      </c>
      <c r="N8" s="21">
        <f t="shared" si="5"/>
        <v>1597.948</v>
      </c>
    </row>
    <row r="9" ht="15.75" customHeight="1">
      <c r="A9" s="13">
        <v>4.0</v>
      </c>
      <c r="B9" s="12" t="s">
        <v>251</v>
      </c>
      <c r="C9" s="12" t="s">
        <v>131</v>
      </c>
      <c r="D9" s="12" t="s">
        <v>132</v>
      </c>
      <c r="E9" s="15">
        <v>0.05</v>
      </c>
      <c r="F9" s="20">
        <v>500.0</v>
      </c>
      <c r="G9" s="21">
        <f t="shared" si="1"/>
        <v>25</v>
      </c>
      <c r="H9" s="15">
        <v>1.0</v>
      </c>
      <c r="I9" s="21">
        <f t="shared" si="2"/>
        <v>500</v>
      </c>
      <c r="J9" s="23">
        <f t="shared" si="3"/>
        <v>25</v>
      </c>
      <c r="K9" s="14">
        <v>1.0</v>
      </c>
      <c r="L9" s="22">
        <v>0.15</v>
      </c>
      <c r="M9" s="21">
        <f t="shared" si="4"/>
        <v>21.25</v>
      </c>
      <c r="N9" s="21">
        <f t="shared" si="5"/>
        <v>28.75</v>
      </c>
    </row>
    <row r="10" ht="18.0" customHeight="1">
      <c r="A10" s="1"/>
      <c r="B10" s="24" t="s">
        <v>133</v>
      </c>
      <c r="C10" s="3"/>
      <c r="D10" s="3"/>
      <c r="E10" s="3"/>
      <c r="F10" s="4"/>
      <c r="G10" s="23">
        <f>SUM(G6:G9)</f>
        <v>10105.77</v>
      </c>
      <c r="H10" s="1"/>
      <c r="I10" s="1"/>
      <c r="J10" s="23">
        <f>SUM(J6:J9)</f>
        <v>10105.77</v>
      </c>
      <c r="K10" s="1"/>
      <c r="L10" s="1"/>
      <c r="M10" s="23">
        <f t="shared" ref="M10:N10" si="6">SUM(M6:M9)</f>
        <v>8589.9045</v>
      </c>
      <c r="N10" s="23">
        <f t="shared" si="6"/>
        <v>11621.6355</v>
      </c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ht="15.0" customHeight="1">
      <c r="A12" s="25" t="s">
        <v>134</v>
      </c>
      <c r="B12" s="26" t="s">
        <v>252</v>
      </c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ht="19.5" customHeight="1">
      <c r="A15" s="8" t="s">
        <v>253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4"/>
    </row>
    <row r="16" ht="23.25" customHeight="1">
      <c r="A16" s="19" t="s">
        <v>110</v>
      </c>
      <c r="B16" s="19" t="s">
        <v>111</v>
      </c>
      <c r="C16" s="19" t="s">
        <v>112</v>
      </c>
      <c r="D16" s="19" t="s">
        <v>113</v>
      </c>
      <c r="E16" s="19" t="s">
        <v>114</v>
      </c>
      <c r="F16" s="19" t="s">
        <v>115</v>
      </c>
      <c r="G16" s="19" t="s">
        <v>116</v>
      </c>
      <c r="H16" s="19" t="s">
        <v>117</v>
      </c>
      <c r="I16" s="19" t="s">
        <v>118</v>
      </c>
      <c r="J16" s="19" t="s">
        <v>119</v>
      </c>
      <c r="K16" s="19" t="s">
        <v>120</v>
      </c>
      <c r="L16" s="19" t="s">
        <v>121</v>
      </c>
      <c r="M16" s="19" t="s">
        <v>122</v>
      </c>
      <c r="N16" s="19" t="s">
        <v>123</v>
      </c>
    </row>
    <row r="17" ht="15.75" customHeight="1">
      <c r="A17" s="13">
        <v>1.0</v>
      </c>
      <c r="B17" s="12" t="s">
        <v>254</v>
      </c>
      <c r="C17" s="12" t="s">
        <v>131</v>
      </c>
      <c r="D17" s="12" t="s">
        <v>153</v>
      </c>
      <c r="E17" s="15">
        <v>1.0</v>
      </c>
      <c r="F17" s="20">
        <v>15000.0</v>
      </c>
      <c r="G17" s="21">
        <f t="shared" ref="G17:G20" si="7">E17*F17</f>
        <v>15000</v>
      </c>
      <c r="H17" s="15">
        <v>1.0</v>
      </c>
      <c r="I17" s="21">
        <f t="shared" ref="I17:I20" si="8">F17*H17</f>
        <v>15000</v>
      </c>
      <c r="J17" s="21">
        <f t="shared" ref="J17:J20" si="9">E17*I17</f>
        <v>15000</v>
      </c>
      <c r="K17" s="14">
        <v>1.0</v>
      </c>
      <c r="L17" s="22">
        <v>0.15</v>
      </c>
      <c r="M17" s="21">
        <f t="shared" ref="M17:M20" si="10">J17*(1-L17)</f>
        <v>12750</v>
      </c>
      <c r="N17" s="21">
        <f t="shared" ref="N17:N20" si="11">J17*(1+L17)</f>
        <v>17250</v>
      </c>
    </row>
    <row r="18" ht="15.75" customHeight="1">
      <c r="A18" s="13">
        <v>2.0</v>
      </c>
      <c r="B18" s="12" t="s">
        <v>255</v>
      </c>
      <c r="C18" s="12" t="s">
        <v>131</v>
      </c>
      <c r="D18" s="12" t="s">
        <v>132</v>
      </c>
      <c r="E18" s="15">
        <v>0.2</v>
      </c>
      <c r="F18" s="20">
        <v>3000.0</v>
      </c>
      <c r="G18" s="21">
        <f t="shared" si="7"/>
        <v>600</v>
      </c>
      <c r="H18" s="15">
        <v>1.0</v>
      </c>
      <c r="I18" s="21">
        <f t="shared" si="8"/>
        <v>3000</v>
      </c>
      <c r="J18" s="21">
        <f t="shared" si="9"/>
        <v>600</v>
      </c>
      <c r="K18" s="14">
        <v>1.0</v>
      </c>
      <c r="L18" s="22">
        <v>0.15</v>
      </c>
      <c r="M18" s="21">
        <f t="shared" si="10"/>
        <v>510</v>
      </c>
      <c r="N18" s="21">
        <f t="shared" si="11"/>
        <v>690</v>
      </c>
    </row>
    <row r="19" ht="15.75" customHeight="1">
      <c r="A19" s="13">
        <v>3.0</v>
      </c>
      <c r="B19" s="12" t="s">
        <v>256</v>
      </c>
      <c r="C19" s="12" t="s">
        <v>125</v>
      </c>
      <c r="D19" s="12" t="s">
        <v>126</v>
      </c>
      <c r="E19" s="15">
        <v>0.12</v>
      </c>
      <c r="F19" s="20">
        <v>17369.0</v>
      </c>
      <c r="G19" s="21">
        <f t="shared" si="7"/>
        <v>2084.28</v>
      </c>
      <c r="H19" s="15">
        <v>1.0</v>
      </c>
      <c r="I19" s="21">
        <f t="shared" si="8"/>
        <v>17369</v>
      </c>
      <c r="J19" s="21">
        <f t="shared" si="9"/>
        <v>2084.28</v>
      </c>
      <c r="K19" s="14">
        <v>0.15</v>
      </c>
      <c r="L19" s="22">
        <v>0.15</v>
      </c>
      <c r="M19" s="21">
        <f t="shared" si="10"/>
        <v>1771.638</v>
      </c>
      <c r="N19" s="21">
        <f t="shared" si="11"/>
        <v>2396.922</v>
      </c>
    </row>
    <row r="20" ht="15.75" customHeight="1">
      <c r="A20" s="13">
        <v>4.0</v>
      </c>
      <c r="B20" s="12" t="s">
        <v>257</v>
      </c>
      <c r="C20" s="12" t="s">
        <v>131</v>
      </c>
      <c r="D20" s="12" t="s">
        <v>132</v>
      </c>
      <c r="E20" s="15">
        <v>0.05</v>
      </c>
      <c r="F20" s="20">
        <v>750.0</v>
      </c>
      <c r="G20" s="21">
        <f t="shared" si="7"/>
        <v>37.5</v>
      </c>
      <c r="H20" s="15">
        <v>1.0</v>
      </c>
      <c r="I20" s="21">
        <f t="shared" si="8"/>
        <v>750</v>
      </c>
      <c r="J20" s="23">
        <f t="shared" si="9"/>
        <v>37.5</v>
      </c>
      <c r="K20" s="14">
        <v>1.0</v>
      </c>
      <c r="L20" s="22">
        <v>0.15</v>
      </c>
      <c r="M20" s="21">
        <f t="shared" si="10"/>
        <v>31.875</v>
      </c>
      <c r="N20" s="21">
        <f t="shared" si="11"/>
        <v>43.125</v>
      </c>
    </row>
    <row r="21" ht="18.0" customHeight="1">
      <c r="A21" s="1"/>
      <c r="B21" s="24" t="s">
        <v>133</v>
      </c>
      <c r="C21" s="3"/>
      <c r="D21" s="3"/>
      <c r="E21" s="3"/>
      <c r="F21" s="4"/>
      <c r="G21" s="23">
        <f>SUM(G17:G20)</f>
        <v>17721.78</v>
      </c>
      <c r="H21" s="1"/>
      <c r="I21" s="1"/>
      <c r="J21" s="23">
        <f>SUM(J17:J20)</f>
        <v>17721.78</v>
      </c>
      <c r="K21" s="1"/>
      <c r="L21" s="1"/>
      <c r="M21" s="23">
        <f t="shared" ref="M21:N21" si="12">SUM(M17:M20)</f>
        <v>15063.513</v>
      </c>
      <c r="N21" s="23">
        <f t="shared" si="12"/>
        <v>20380.047</v>
      </c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ht="15.0" customHeight="1">
      <c r="A23" s="25" t="s">
        <v>134</v>
      </c>
      <c r="B23" s="26" t="s">
        <v>258</v>
      </c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</row>
  </sheetData>
  <mergeCells count="8">
    <mergeCell ref="A1:N1"/>
    <mergeCell ref="A2:N2"/>
    <mergeCell ref="A4:N4"/>
    <mergeCell ref="B10:F10"/>
    <mergeCell ref="B12:N12"/>
    <mergeCell ref="A15:N15"/>
    <mergeCell ref="B21:F21"/>
    <mergeCell ref="B23:N23"/>
  </mergeCell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4" width="11.0"/>
    <col customWidth="1" min="15" max="26" width="8.71"/>
  </cols>
  <sheetData>
    <row r="1" ht="24.75" customHeight="1">
      <c r="A1" s="2" t="s">
        <v>259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</row>
    <row r="2" ht="15.75" customHeight="1">
      <c r="A2" s="5" t="s">
        <v>260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ht="19.5" customHeight="1">
      <c r="A4" s="8" t="s">
        <v>261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4"/>
    </row>
    <row r="5" ht="23.25" customHeight="1">
      <c r="A5" s="19" t="s">
        <v>110</v>
      </c>
      <c r="B5" s="19" t="s">
        <v>111</v>
      </c>
      <c r="C5" s="19" t="s">
        <v>112</v>
      </c>
      <c r="D5" s="19" t="s">
        <v>113</v>
      </c>
      <c r="E5" s="19" t="s">
        <v>114</v>
      </c>
      <c r="F5" s="19" t="s">
        <v>115</v>
      </c>
      <c r="G5" s="19" t="s">
        <v>116</v>
      </c>
      <c r="H5" s="19" t="s">
        <v>117</v>
      </c>
      <c r="I5" s="19" t="s">
        <v>118</v>
      </c>
      <c r="J5" s="19" t="s">
        <v>119</v>
      </c>
      <c r="K5" s="19" t="s">
        <v>120</v>
      </c>
      <c r="L5" s="19" t="s">
        <v>121</v>
      </c>
      <c r="M5" s="19" t="s">
        <v>122</v>
      </c>
      <c r="N5" s="19" t="s">
        <v>123</v>
      </c>
    </row>
    <row r="6" ht="15.75" customHeight="1">
      <c r="A6" s="13">
        <v>1.0</v>
      </c>
      <c r="B6" s="12" t="s">
        <v>262</v>
      </c>
      <c r="C6" s="12" t="s">
        <v>131</v>
      </c>
      <c r="D6" s="12" t="s">
        <v>153</v>
      </c>
      <c r="E6" s="15">
        <v>1.0</v>
      </c>
      <c r="F6" s="20">
        <v>850.0</v>
      </c>
      <c r="G6" s="21">
        <f t="shared" ref="G6:G9" si="1">E6*F6</f>
        <v>850</v>
      </c>
      <c r="H6" s="15">
        <v>1.0</v>
      </c>
      <c r="I6" s="21">
        <f t="shared" ref="I6:I9" si="2">F6*H6</f>
        <v>850</v>
      </c>
      <c r="J6" s="21">
        <f t="shared" ref="J6:J9" si="3">E6*I6</f>
        <v>850</v>
      </c>
      <c r="K6" s="14">
        <v>1.0</v>
      </c>
      <c r="L6" s="22">
        <v>0.15</v>
      </c>
      <c r="M6" s="21">
        <f t="shared" ref="M6:M9" si="4">J6*(1-L6)</f>
        <v>722.5</v>
      </c>
      <c r="N6" s="21">
        <f t="shared" ref="N6:N9" si="5">J6*(1+L6)</f>
        <v>977.5</v>
      </c>
    </row>
    <row r="7" ht="15.75" customHeight="1">
      <c r="A7" s="13">
        <v>2.0</v>
      </c>
      <c r="B7" s="12" t="s">
        <v>263</v>
      </c>
      <c r="C7" s="12" t="s">
        <v>131</v>
      </c>
      <c r="D7" s="12" t="s">
        <v>153</v>
      </c>
      <c r="E7" s="15">
        <v>1.0</v>
      </c>
      <c r="F7" s="20">
        <v>4500.0</v>
      </c>
      <c r="G7" s="21">
        <f t="shared" si="1"/>
        <v>4500</v>
      </c>
      <c r="H7" s="15">
        <v>1.0</v>
      </c>
      <c r="I7" s="21">
        <f t="shared" si="2"/>
        <v>4500</v>
      </c>
      <c r="J7" s="21">
        <f t="shared" si="3"/>
        <v>4500</v>
      </c>
      <c r="K7" s="14">
        <v>1.0</v>
      </c>
      <c r="L7" s="22">
        <v>0.15</v>
      </c>
      <c r="M7" s="21">
        <f t="shared" si="4"/>
        <v>3825</v>
      </c>
      <c r="N7" s="21">
        <f t="shared" si="5"/>
        <v>5175</v>
      </c>
    </row>
    <row r="8" ht="15.75" customHeight="1">
      <c r="A8" s="13">
        <v>3.0</v>
      </c>
      <c r="B8" s="12" t="s">
        <v>264</v>
      </c>
      <c r="C8" s="12" t="s">
        <v>125</v>
      </c>
      <c r="D8" s="12" t="s">
        <v>126</v>
      </c>
      <c r="E8" s="15">
        <v>0.05</v>
      </c>
      <c r="F8" s="20">
        <v>17369.0</v>
      </c>
      <c r="G8" s="21">
        <f t="shared" si="1"/>
        <v>868.45</v>
      </c>
      <c r="H8" s="15">
        <v>1.0</v>
      </c>
      <c r="I8" s="21">
        <f t="shared" si="2"/>
        <v>17369</v>
      </c>
      <c r="J8" s="21">
        <f t="shared" si="3"/>
        <v>868.45</v>
      </c>
      <c r="K8" s="14">
        <v>0.15</v>
      </c>
      <c r="L8" s="22">
        <v>0.15</v>
      </c>
      <c r="M8" s="21">
        <f t="shared" si="4"/>
        <v>738.1825</v>
      </c>
      <c r="N8" s="21">
        <f t="shared" si="5"/>
        <v>998.7175</v>
      </c>
    </row>
    <row r="9" ht="15.75" customHeight="1">
      <c r="A9" s="13">
        <v>4.0</v>
      </c>
      <c r="B9" s="12" t="s">
        <v>265</v>
      </c>
      <c r="C9" s="12" t="s">
        <v>131</v>
      </c>
      <c r="D9" s="12" t="s">
        <v>132</v>
      </c>
      <c r="E9" s="15">
        <v>0.1</v>
      </c>
      <c r="F9" s="20">
        <v>85.0</v>
      </c>
      <c r="G9" s="21">
        <f t="shared" si="1"/>
        <v>8.5</v>
      </c>
      <c r="H9" s="15">
        <v>1.0</v>
      </c>
      <c r="I9" s="21">
        <f t="shared" si="2"/>
        <v>85</v>
      </c>
      <c r="J9" s="23">
        <f t="shared" si="3"/>
        <v>8.5</v>
      </c>
      <c r="K9" s="14">
        <v>1.0</v>
      </c>
      <c r="L9" s="22">
        <v>0.15</v>
      </c>
      <c r="M9" s="21">
        <f t="shared" si="4"/>
        <v>7.225</v>
      </c>
      <c r="N9" s="21">
        <f t="shared" si="5"/>
        <v>9.775</v>
      </c>
    </row>
    <row r="10" ht="18.0" customHeight="1">
      <c r="A10" s="1"/>
      <c r="B10" s="24" t="s">
        <v>133</v>
      </c>
      <c r="C10" s="3"/>
      <c r="D10" s="3"/>
      <c r="E10" s="3"/>
      <c r="F10" s="4"/>
      <c r="G10" s="23">
        <f>SUM(G6:G9)</f>
        <v>6226.95</v>
      </c>
      <c r="H10" s="1"/>
      <c r="I10" s="1"/>
      <c r="J10" s="23">
        <f>SUM(J6:J9)</f>
        <v>6226.95</v>
      </c>
      <c r="K10" s="1"/>
      <c r="L10" s="1"/>
      <c r="M10" s="23">
        <f t="shared" ref="M10:N10" si="6">SUM(M6:M9)</f>
        <v>5292.9075</v>
      </c>
      <c r="N10" s="23">
        <f t="shared" si="6"/>
        <v>7160.9925</v>
      </c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ht="15.0" customHeight="1">
      <c r="A12" s="25" t="s">
        <v>134</v>
      </c>
      <c r="B12" s="26" t="s">
        <v>266</v>
      </c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ht="19.5" customHeight="1">
      <c r="A15" s="8" t="s">
        <v>267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4"/>
    </row>
    <row r="16" ht="23.25" customHeight="1">
      <c r="A16" s="19" t="s">
        <v>110</v>
      </c>
      <c r="B16" s="19" t="s">
        <v>111</v>
      </c>
      <c r="C16" s="19" t="s">
        <v>112</v>
      </c>
      <c r="D16" s="19" t="s">
        <v>113</v>
      </c>
      <c r="E16" s="19" t="s">
        <v>114</v>
      </c>
      <c r="F16" s="19" t="s">
        <v>115</v>
      </c>
      <c r="G16" s="19" t="s">
        <v>116</v>
      </c>
      <c r="H16" s="19" t="s">
        <v>117</v>
      </c>
      <c r="I16" s="19" t="s">
        <v>118</v>
      </c>
      <c r="J16" s="19" t="s">
        <v>119</v>
      </c>
      <c r="K16" s="19" t="s">
        <v>120</v>
      </c>
      <c r="L16" s="19" t="s">
        <v>121</v>
      </c>
      <c r="M16" s="19" t="s">
        <v>122</v>
      </c>
      <c r="N16" s="19" t="s">
        <v>123</v>
      </c>
    </row>
    <row r="17" ht="15.75" customHeight="1">
      <c r="A17" s="13">
        <v>1.0</v>
      </c>
      <c r="B17" s="12" t="s">
        <v>268</v>
      </c>
      <c r="C17" s="12" t="s">
        <v>131</v>
      </c>
      <c r="D17" s="12" t="s">
        <v>155</v>
      </c>
      <c r="E17" s="15">
        <v>1.0</v>
      </c>
      <c r="F17" s="20">
        <v>85000.0</v>
      </c>
      <c r="G17" s="21">
        <f t="shared" ref="G17:G20" si="7">E17*F17</f>
        <v>85000</v>
      </c>
      <c r="H17" s="15">
        <v>1.0</v>
      </c>
      <c r="I17" s="21">
        <f t="shared" ref="I17:I20" si="8">F17*H17</f>
        <v>85000</v>
      </c>
      <c r="J17" s="21">
        <f t="shared" ref="J17:J20" si="9">E17*I17</f>
        <v>85000</v>
      </c>
      <c r="K17" s="14">
        <v>1.0</v>
      </c>
      <c r="L17" s="22">
        <v>0.15</v>
      </c>
      <c r="M17" s="21">
        <f t="shared" ref="M17:M20" si="10">J17*(1-L17)</f>
        <v>72250</v>
      </c>
      <c r="N17" s="21">
        <f t="shared" ref="N17:N20" si="11">J17*(1+L17)</f>
        <v>97750</v>
      </c>
    </row>
    <row r="18" ht="15.75" customHeight="1">
      <c r="A18" s="13">
        <v>2.0</v>
      </c>
      <c r="B18" s="12" t="s">
        <v>269</v>
      </c>
      <c r="C18" s="12" t="s">
        <v>131</v>
      </c>
      <c r="D18" s="12" t="s">
        <v>155</v>
      </c>
      <c r="E18" s="15">
        <v>1.0</v>
      </c>
      <c r="F18" s="20">
        <v>5500.0</v>
      </c>
      <c r="G18" s="21">
        <f t="shared" si="7"/>
        <v>5500</v>
      </c>
      <c r="H18" s="15">
        <v>1.0</v>
      </c>
      <c r="I18" s="21">
        <f t="shared" si="8"/>
        <v>5500</v>
      </c>
      <c r="J18" s="21">
        <f t="shared" si="9"/>
        <v>5500</v>
      </c>
      <c r="K18" s="14">
        <v>1.0</v>
      </c>
      <c r="L18" s="22">
        <v>0.15</v>
      </c>
      <c r="M18" s="21">
        <f t="shared" si="10"/>
        <v>4675</v>
      </c>
      <c r="N18" s="21">
        <f t="shared" si="11"/>
        <v>6325</v>
      </c>
    </row>
    <row r="19" ht="15.75" customHeight="1">
      <c r="A19" s="13">
        <v>3.0</v>
      </c>
      <c r="B19" s="12" t="s">
        <v>270</v>
      </c>
      <c r="C19" s="12" t="s">
        <v>125</v>
      </c>
      <c r="D19" s="12" t="s">
        <v>126</v>
      </c>
      <c r="E19" s="15">
        <v>0.25</v>
      </c>
      <c r="F19" s="20">
        <v>17369.0</v>
      </c>
      <c r="G19" s="21">
        <f t="shared" si="7"/>
        <v>4342.25</v>
      </c>
      <c r="H19" s="15">
        <v>1.0</v>
      </c>
      <c r="I19" s="21">
        <f t="shared" si="8"/>
        <v>17369</v>
      </c>
      <c r="J19" s="21">
        <f t="shared" si="9"/>
        <v>4342.25</v>
      </c>
      <c r="K19" s="14">
        <v>0.15</v>
      </c>
      <c r="L19" s="22">
        <v>0.15</v>
      </c>
      <c r="M19" s="21">
        <f t="shared" si="10"/>
        <v>3690.9125</v>
      </c>
      <c r="N19" s="21">
        <f t="shared" si="11"/>
        <v>4993.5875</v>
      </c>
    </row>
    <row r="20" ht="15.75" customHeight="1">
      <c r="A20" s="13">
        <v>4.0</v>
      </c>
      <c r="B20" s="12" t="s">
        <v>271</v>
      </c>
      <c r="C20" s="12" t="s">
        <v>131</v>
      </c>
      <c r="D20" s="12" t="s">
        <v>132</v>
      </c>
      <c r="E20" s="15">
        <v>0.05</v>
      </c>
      <c r="F20" s="20">
        <v>4250.0</v>
      </c>
      <c r="G20" s="21">
        <f t="shared" si="7"/>
        <v>212.5</v>
      </c>
      <c r="H20" s="15">
        <v>1.0</v>
      </c>
      <c r="I20" s="21">
        <f t="shared" si="8"/>
        <v>4250</v>
      </c>
      <c r="J20" s="23">
        <f t="shared" si="9"/>
        <v>212.5</v>
      </c>
      <c r="K20" s="14">
        <v>1.0</v>
      </c>
      <c r="L20" s="22">
        <v>0.15</v>
      </c>
      <c r="M20" s="21">
        <f t="shared" si="10"/>
        <v>180.625</v>
      </c>
      <c r="N20" s="21">
        <f t="shared" si="11"/>
        <v>244.375</v>
      </c>
    </row>
    <row r="21" ht="18.0" customHeight="1">
      <c r="A21" s="1"/>
      <c r="B21" s="24" t="s">
        <v>133</v>
      </c>
      <c r="C21" s="3"/>
      <c r="D21" s="3"/>
      <c r="E21" s="3"/>
      <c r="F21" s="4"/>
      <c r="G21" s="23">
        <f>SUM(G17:G20)</f>
        <v>95054.75</v>
      </c>
      <c r="H21" s="1"/>
      <c r="I21" s="1"/>
      <c r="J21" s="23">
        <f>SUM(J17:J20)</f>
        <v>95054.75</v>
      </c>
      <c r="K21" s="1"/>
      <c r="L21" s="1"/>
      <c r="M21" s="23">
        <f t="shared" ref="M21:N21" si="12">SUM(M17:M20)</f>
        <v>80796.5375</v>
      </c>
      <c r="N21" s="23">
        <f t="shared" si="12"/>
        <v>109312.9625</v>
      </c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ht="15.0" customHeight="1">
      <c r="A23" s="25" t="s">
        <v>134</v>
      </c>
      <c r="B23" s="26" t="s">
        <v>272</v>
      </c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</row>
  </sheetData>
  <mergeCells count="8">
    <mergeCell ref="A1:N1"/>
    <mergeCell ref="A2:N2"/>
    <mergeCell ref="A4:N4"/>
    <mergeCell ref="B10:F10"/>
    <mergeCell ref="B12:N12"/>
    <mergeCell ref="A15:N15"/>
    <mergeCell ref="B21:F21"/>
    <mergeCell ref="B23:N23"/>
  </mergeCells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4" width="11.0"/>
    <col customWidth="1" min="15" max="26" width="8.71"/>
  </cols>
  <sheetData>
    <row r="1" ht="24.75" customHeight="1">
      <c r="A1" s="2" t="s">
        <v>273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</row>
    <row r="2" ht="15.75" customHeight="1">
      <c r="A2" s="5" t="s">
        <v>274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ht="19.5" customHeight="1">
      <c r="A4" s="8" t="s">
        <v>275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4"/>
    </row>
    <row r="5" ht="23.25" customHeight="1">
      <c r="A5" s="19" t="s">
        <v>110</v>
      </c>
      <c r="B5" s="19" t="s">
        <v>111</v>
      </c>
      <c r="C5" s="19" t="s">
        <v>112</v>
      </c>
      <c r="D5" s="19" t="s">
        <v>113</v>
      </c>
      <c r="E5" s="19" t="s">
        <v>114</v>
      </c>
      <c r="F5" s="19" t="s">
        <v>115</v>
      </c>
      <c r="G5" s="19" t="s">
        <v>116</v>
      </c>
      <c r="H5" s="19" t="s">
        <v>117</v>
      </c>
      <c r="I5" s="19" t="s">
        <v>118</v>
      </c>
      <c r="J5" s="19" t="s">
        <v>119</v>
      </c>
      <c r="K5" s="19" t="s">
        <v>120</v>
      </c>
      <c r="L5" s="19" t="s">
        <v>121</v>
      </c>
      <c r="M5" s="19" t="s">
        <v>122</v>
      </c>
      <c r="N5" s="19" t="s">
        <v>123</v>
      </c>
    </row>
    <row r="6" ht="15.75" customHeight="1">
      <c r="A6" s="13">
        <v>1.0</v>
      </c>
      <c r="B6" s="12" t="s">
        <v>276</v>
      </c>
      <c r="C6" s="12" t="s">
        <v>131</v>
      </c>
      <c r="D6" s="12" t="s">
        <v>155</v>
      </c>
      <c r="E6" s="15">
        <v>30.0</v>
      </c>
      <c r="F6" s="20">
        <v>1800.0</v>
      </c>
      <c r="G6" s="21">
        <f t="shared" ref="G6:G9" si="1">E6*F6</f>
        <v>54000</v>
      </c>
      <c r="H6" s="15">
        <v>1.0</v>
      </c>
      <c r="I6" s="21">
        <f t="shared" ref="I6:I9" si="2">F6*H6</f>
        <v>1800</v>
      </c>
      <c r="J6" s="21">
        <f t="shared" ref="J6:J9" si="3">E6*I6</f>
        <v>54000</v>
      </c>
      <c r="K6" s="14">
        <v>1.0</v>
      </c>
      <c r="L6" s="22">
        <v>0.15</v>
      </c>
      <c r="M6" s="21">
        <f t="shared" ref="M6:M9" si="4">J6*(1-L6)</f>
        <v>45900</v>
      </c>
      <c r="N6" s="21">
        <f t="shared" ref="N6:N9" si="5">J6*(1+L6)</f>
        <v>62100</v>
      </c>
    </row>
    <row r="7" ht="15.75" customHeight="1">
      <c r="A7" s="13">
        <v>2.0</v>
      </c>
      <c r="B7" s="12" t="s">
        <v>277</v>
      </c>
      <c r="C7" s="12" t="s">
        <v>131</v>
      </c>
      <c r="D7" s="12" t="s">
        <v>190</v>
      </c>
      <c r="E7" s="15">
        <v>25.0</v>
      </c>
      <c r="F7" s="20">
        <v>400.0</v>
      </c>
      <c r="G7" s="21">
        <f t="shared" si="1"/>
        <v>10000</v>
      </c>
      <c r="H7" s="15">
        <v>1.0</v>
      </c>
      <c r="I7" s="21">
        <f t="shared" si="2"/>
        <v>400</v>
      </c>
      <c r="J7" s="21">
        <f t="shared" si="3"/>
        <v>10000</v>
      </c>
      <c r="K7" s="14">
        <v>1.0</v>
      </c>
      <c r="L7" s="22">
        <v>0.15</v>
      </c>
      <c r="M7" s="21">
        <f t="shared" si="4"/>
        <v>8500</v>
      </c>
      <c r="N7" s="21">
        <f t="shared" si="5"/>
        <v>11500</v>
      </c>
    </row>
    <row r="8" ht="15.75" customHeight="1">
      <c r="A8" s="13">
        <v>3.0</v>
      </c>
      <c r="B8" s="12" t="s">
        <v>278</v>
      </c>
      <c r="C8" s="12" t="s">
        <v>125</v>
      </c>
      <c r="D8" s="12" t="s">
        <v>126</v>
      </c>
      <c r="E8" s="15">
        <v>0.5</v>
      </c>
      <c r="F8" s="20">
        <v>17369.0</v>
      </c>
      <c r="G8" s="21">
        <f t="shared" si="1"/>
        <v>8684.5</v>
      </c>
      <c r="H8" s="15">
        <v>1.0</v>
      </c>
      <c r="I8" s="21">
        <f t="shared" si="2"/>
        <v>17369</v>
      </c>
      <c r="J8" s="21">
        <f t="shared" si="3"/>
        <v>8684.5</v>
      </c>
      <c r="K8" s="14">
        <v>0.15</v>
      </c>
      <c r="L8" s="22">
        <v>0.15</v>
      </c>
      <c r="M8" s="21">
        <f t="shared" si="4"/>
        <v>7381.825</v>
      </c>
      <c r="N8" s="21">
        <f t="shared" si="5"/>
        <v>9987.175</v>
      </c>
    </row>
    <row r="9" ht="15.75" customHeight="1">
      <c r="A9" s="13">
        <v>4.0</v>
      </c>
      <c r="B9" s="12" t="s">
        <v>279</v>
      </c>
      <c r="C9" s="12" t="s">
        <v>140</v>
      </c>
      <c r="D9" s="12" t="s">
        <v>181</v>
      </c>
      <c r="E9" s="15">
        <v>0.05</v>
      </c>
      <c r="F9" s="20">
        <v>30000.0</v>
      </c>
      <c r="G9" s="21">
        <f t="shared" si="1"/>
        <v>1500</v>
      </c>
      <c r="H9" s="15">
        <v>1.0</v>
      </c>
      <c r="I9" s="21">
        <f t="shared" si="2"/>
        <v>30000</v>
      </c>
      <c r="J9" s="23">
        <f t="shared" si="3"/>
        <v>1500</v>
      </c>
      <c r="K9" s="14">
        <v>0.5</v>
      </c>
      <c r="L9" s="22">
        <v>0.15</v>
      </c>
      <c r="M9" s="21">
        <f t="shared" si="4"/>
        <v>1275</v>
      </c>
      <c r="N9" s="21">
        <f t="shared" si="5"/>
        <v>1725</v>
      </c>
    </row>
    <row r="10" ht="18.0" customHeight="1">
      <c r="A10" s="1"/>
      <c r="B10" s="24" t="s">
        <v>133</v>
      </c>
      <c r="C10" s="3"/>
      <c r="D10" s="3"/>
      <c r="E10" s="3"/>
      <c r="F10" s="4"/>
      <c r="G10" s="23">
        <f>SUM(G6:G9)</f>
        <v>74184.5</v>
      </c>
      <c r="H10" s="1"/>
      <c r="I10" s="1"/>
      <c r="J10" s="23">
        <f>SUM(J6:J9)</f>
        <v>74184.5</v>
      </c>
      <c r="K10" s="1"/>
      <c r="L10" s="1"/>
      <c r="M10" s="23">
        <f t="shared" ref="M10:N10" si="6">SUM(M6:M9)</f>
        <v>63056.825</v>
      </c>
      <c r="N10" s="23">
        <f t="shared" si="6"/>
        <v>85312.175</v>
      </c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ht="15.0" customHeight="1">
      <c r="A12" s="25" t="s">
        <v>134</v>
      </c>
      <c r="B12" s="26" t="s">
        <v>280</v>
      </c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ht="19.5" customHeight="1">
      <c r="A15" s="8" t="s">
        <v>281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4"/>
    </row>
    <row r="16" ht="23.25" customHeight="1">
      <c r="A16" s="19" t="s">
        <v>110</v>
      </c>
      <c r="B16" s="19" t="s">
        <v>111</v>
      </c>
      <c r="C16" s="19" t="s">
        <v>112</v>
      </c>
      <c r="D16" s="19" t="s">
        <v>113</v>
      </c>
      <c r="E16" s="19" t="s">
        <v>114</v>
      </c>
      <c r="F16" s="19" t="s">
        <v>115</v>
      </c>
      <c r="G16" s="19" t="s">
        <v>116</v>
      </c>
      <c r="H16" s="19" t="s">
        <v>117</v>
      </c>
      <c r="I16" s="19" t="s">
        <v>118</v>
      </c>
      <c r="J16" s="19" t="s">
        <v>119</v>
      </c>
      <c r="K16" s="19" t="s">
        <v>120</v>
      </c>
      <c r="L16" s="19" t="s">
        <v>121</v>
      </c>
      <c r="M16" s="19" t="s">
        <v>122</v>
      </c>
      <c r="N16" s="19" t="s">
        <v>123</v>
      </c>
    </row>
    <row r="17" ht="15.75" customHeight="1">
      <c r="A17" s="13">
        <v>1.0</v>
      </c>
      <c r="B17" s="12" t="s">
        <v>282</v>
      </c>
      <c r="C17" s="12" t="s">
        <v>131</v>
      </c>
      <c r="D17" s="12" t="s">
        <v>147</v>
      </c>
      <c r="E17" s="15">
        <v>1.05</v>
      </c>
      <c r="F17" s="20">
        <v>32000.0</v>
      </c>
      <c r="G17" s="21">
        <f t="shared" ref="G17:G20" si="7">E17*F17</f>
        <v>33600</v>
      </c>
      <c r="H17" s="15">
        <v>1.0</v>
      </c>
      <c r="I17" s="21">
        <f t="shared" ref="I17:I20" si="8">F17*H17</f>
        <v>32000</v>
      </c>
      <c r="J17" s="21">
        <f t="shared" ref="J17:J20" si="9">E17*I17</f>
        <v>33600</v>
      </c>
      <c r="K17" s="14">
        <v>1.0</v>
      </c>
      <c r="L17" s="22">
        <v>0.15</v>
      </c>
      <c r="M17" s="21">
        <f t="shared" ref="M17:M20" si="10">J17*(1-L17)</f>
        <v>28560</v>
      </c>
      <c r="N17" s="21">
        <f t="shared" ref="N17:N20" si="11">J17*(1+L17)</f>
        <v>38640</v>
      </c>
    </row>
    <row r="18" ht="15.75" customHeight="1">
      <c r="A18" s="13">
        <v>2.0</v>
      </c>
      <c r="B18" s="12" t="s">
        <v>283</v>
      </c>
      <c r="C18" s="12" t="s">
        <v>131</v>
      </c>
      <c r="D18" s="12" t="s">
        <v>190</v>
      </c>
      <c r="E18" s="15">
        <v>2.0</v>
      </c>
      <c r="F18" s="20">
        <v>2500.0</v>
      </c>
      <c r="G18" s="21">
        <f t="shared" si="7"/>
        <v>5000</v>
      </c>
      <c r="H18" s="15">
        <v>1.0</v>
      </c>
      <c r="I18" s="21">
        <f t="shared" si="8"/>
        <v>2500</v>
      </c>
      <c r="J18" s="21">
        <f t="shared" si="9"/>
        <v>5000</v>
      </c>
      <c r="K18" s="14">
        <v>1.0</v>
      </c>
      <c r="L18" s="22">
        <v>0.15</v>
      </c>
      <c r="M18" s="21">
        <f t="shared" si="10"/>
        <v>4250</v>
      </c>
      <c r="N18" s="21">
        <f t="shared" si="11"/>
        <v>5750</v>
      </c>
    </row>
    <row r="19" ht="15.75" customHeight="1">
      <c r="A19" s="13">
        <v>3.0</v>
      </c>
      <c r="B19" s="12" t="s">
        <v>284</v>
      </c>
      <c r="C19" s="12" t="s">
        <v>125</v>
      </c>
      <c r="D19" s="12" t="s">
        <v>126</v>
      </c>
      <c r="E19" s="15">
        <v>0.15</v>
      </c>
      <c r="F19" s="20">
        <v>17369.0</v>
      </c>
      <c r="G19" s="21">
        <f t="shared" si="7"/>
        <v>2605.35</v>
      </c>
      <c r="H19" s="15">
        <v>1.0</v>
      </c>
      <c r="I19" s="21">
        <f t="shared" si="8"/>
        <v>17369</v>
      </c>
      <c r="J19" s="21">
        <f t="shared" si="9"/>
        <v>2605.35</v>
      </c>
      <c r="K19" s="14">
        <v>0.15</v>
      </c>
      <c r="L19" s="22">
        <v>0.15</v>
      </c>
      <c r="M19" s="21">
        <f t="shared" si="10"/>
        <v>2214.5475</v>
      </c>
      <c r="N19" s="21">
        <f t="shared" si="11"/>
        <v>2996.1525</v>
      </c>
    </row>
    <row r="20" ht="15.75" customHeight="1">
      <c r="A20" s="13">
        <v>4.0</v>
      </c>
      <c r="B20" s="12" t="s">
        <v>285</v>
      </c>
      <c r="C20" s="12" t="s">
        <v>140</v>
      </c>
      <c r="D20" s="12" t="s">
        <v>181</v>
      </c>
      <c r="E20" s="15">
        <v>0.02</v>
      </c>
      <c r="F20" s="20">
        <v>60000.0</v>
      </c>
      <c r="G20" s="21">
        <f t="shared" si="7"/>
        <v>1200</v>
      </c>
      <c r="H20" s="15">
        <v>1.0</v>
      </c>
      <c r="I20" s="21">
        <f t="shared" si="8"/>
        <v>60000</v>
      </c>
      <c r="J20" s="23">
        <f t="shared" si="9"/>
        <v>1200</v>
      </c>
      <c r="K20" s="14">
        <v>0.5</v>
      </c>
      <c r="L20" s="22">
        <v>0.15</v>
      </c>
      <c r="M20" s="21">
        <f t="shared" si="10"/>
        <v>1020</v>
      </c>
      <c r="N20" s="21">
        <f t="shared" si="11"/>
        <v>1380</v>
      </c>
    </row>
    <row r="21" ht="18.0" customHeight="1">
      <c r="A21" s="1"/>
      <c r="B21" s="24" t="s">
        <v>133</v>
      </c>
      <c r="C21" s="3"/>
      <c r="D21" s="3"/>
      <c r="E21" s="3"/>
      <c r="F21" s="4"/>
      <c r="G21" s="23">
        <f>SUM(G17:G20)</f>
        <v>42405.35</v>
      </c>
      <c r="H21" s="1"/>
      <c r="I21" s="1"/>
      <c r="J21" s="23">
        <f>SUM(J17:J20)</f>
        <v>42405.35</v>
      </c>
      <c r="K21" s="1"/>
      <c r="L21" s="1"/>
      <c r="M21" s="23">
        <f t="shared" ref="M21:N21" si="12">SUM(M17:M20)</f>
        <v>36044.5475</v>
      </c>
      <c r="N21" s="23">
        <f t="shared" si="12"/>
        <v>48766.1525</v>
      </c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ht="15.0" customHeight="1">
      <c r="A23" s="25" t="s">
        <v>134</v>
      </c>
      <c r="B23" s="26" t="s">
        <v>286</v>
      </c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ht="19.5" customHeight="1">
      <c r="A26" s="8" t="s">
        <v>287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4"/>
    </row>
    <row r="27" ht="23.25" customHeight="1">
      <c r="A27" s="19" t="s">
        <v>110</v>
      </c>
      <c r="B27" s="19" t="s">
        <v>111</v>
      </c>
      <c r="C27" s="19" t="s">
        <v>112</v>
      </c>
      <c r="D27" s="19" t="s">
        <v>113</v>
      </c>
      <c r="E27" s="19" t="s">
        <v>114</v>
      </c>
      <c r="F27" s="19" t="s">
        <v>115</v>
      </c>
      <c r="G27" s="19" t="s">
        <v>116</v>
      </c>
      <c r="H27" s="19" t="s">
        <v>117</v>
      </c>
      <c r="I27" s="19" t="s">
        <v>118</v>
      </c>
      <c r="J27" s="19" t="s">
        <v>119</v>
      </c>
      <c r="K27" s="19" t="s">
        <v>120</v>
      </c>
      <c r="L27" s="19" t="s">
        <v>121</v>
      </c>
      <c r="M27" s="19" t="s">
        <v>122</v>
      </c>
      <c r="N27" s="19" t="s">
        <v>123</v>
      </c>
    </row>
    <row r="28" ht="15.75" customHeight="1">
      <c r="A28" s="13">
        <v>1.0</v>
      </c>
      <c r="B28" s="12" t="s">
        <v>288</v>
      </c>
      <c r="C28" s="12" t="s">
        <v>131</v>
      </c>
      <c r="D28" s="12" t="s">
        <v>190</v>
      </c>
      <c r="E28" s="15">
        <v>12.0</v>
      </c>
      <c r="F28" s="20">
        <v>3800.0</v>
      </c>
      <c r="G28" s="21">
        <f t="shared" ref="G28:G31" si="13">E28*F28</f>
        <v>45600</v>
      </c>
      <c r="H28" s="15">
        <v>1.0</v>
      </c>
      <c r="I28" s="21">
        <f t="shared" ref="I28:I31" si="14">F28*H28</f>
        <v>3800</v>
      </c>
      <c r="J28" s="21">
        <f t="shared" ref="J28:J31" si="15">E28*I28</f>
        <v>45600</v>
      </c>
      <c r="K28" s="14">
        <v>1.0</v>
      </c>
      <c r="L28" s="22">
        <v>0.15</v>
      </c>
      <c r="M28" s="21">
        <f t="shared" ref="M28:M31" si="16">J28*(1-L28)</f>
        <v>38760</v>
      </c>
      <c r="N28" s="21">
        <f t="shared" ref="N28:N31" si="17">J28*(1+L28)</f>
        <v>52440</v>
      </c>
    </row>
    <row r="29" ht="15.75" customHeight="1">
      <c r="A29" s="13">
        <v>2.0</v>
      </c>
      <c r="B29" s="12" t="s">
        <v>289</v>
      </c>
      <c r="C29" s="12" t="s">
        <v>131</v>
      </c>
      <c r="D29" s="12" t="s">
        <v>190</v>
      </c>
      <c r="E29" s="15">
        <v>18.0</v>
      </c>
      <c r="F29" s="20">
        <v>3800.0</v>
      </c>
      <c r="G29" s="21">
        <f t="shared" si="13"/>
        <v>68400</v>
      </c>
      <c r="H29" s="15">
        <v>1.0</v>
      </c>
      <c r="I29" s="21">
        <f t="shared" si="14"/>
        <v>3800</v>
      </c>
      <c r="J29" s="21">
        <f t="shared" si="15"/>
        <v>68400</v>
      </c>
      <c r="K29" s="14">
        <v>1.0</v>
      </c>
      <c r="L29" s="22">
        <v>0.15</v>
      </c>
      <c r="M29" s="21">
        <f t="shared" si="16"/>
        <v>58140</v>
      </c>
      <c r="N29" s="21">
        <f t="shared" si="17"/>
        <v>78660</v>
      </c>
    </row>
    <row r="30" ht="15.75" customHeight="1">
      <c r="A30" s="13">
        <v>3.0</v>
      </c>
      <c r="B30" s="12" t="s">
        <v>290</v>
      </c>
      <c r="C30" s="12" t="s">
        <v>131</v>
      </c>
      <c r="D30" s="12" t="s">
        <v>155</v>
      </c>
      <c r="E30" s="15">
        <v>0.2</v>
      </c>
      <c r="F30" s="20">
        <v>450000.0</v>
      </c>
      <c r="G30" s="21">
        <f t="shared" si="13"/>
        <v>90000</v>
      </c>
      <c r="H30" s="15">
        <v>1.0</v>
      </c>
      <c r="I30" s="21">
        <f t="shared" si="14"/>
        <v>450000</v>
      </c>
      <c r="J30" s="21">
        <f t="shared" si="15"/>
        <v>90000</v>
      </c>
      <c r="K30" s="14">
        <v>1.0</v>
      </c>
      <c r="L30" s="22">
        <v>0.15</v>
      </c>
      <c r="M30" s="21">
        <f t="shared" si="16"/>
        <v>76500</v>
      </c>
      <c r="N30" s="21">
        <f t="shared" si="17"/>
        <v>103500</v>
      </c>
    </row>
    <row r="31" ht="15.75" customHeight="1">
      <c r="A31" s="13">
        <v>4.0</v>
      </c>
      <c r="B31" s="12" t="s">
        <v>291</v>
      </c>
      <c r="C31" s="12" t="s">
        <v>125</v>
      </c>
      <c r="D31" s="12" t="s">
        <v>126</v>
      </c>
      <c r="E31" s="15">
        <v>0.5</v>
      </c>
      <c r="F31" s="20">
        <v>21000.0</v>
      </c>
      <c r="G31" s="21">
        <f t="shared" si="13"/>
        <v>10500</v>
      </c>
      <c r="H31" s="15">
        <v>1.0</v>
      </c>
      <c r="I31" s="21">
        <f t="shared" si="14"/>
        <v>21000</v>
      </c>
      <c r="J31" s="23">
        <f t="shared" si="15"/>
        <v>10500</v>
      </c>
      <c r="K31" s="14">
        <v>0.15</v>
      </c>
      <c r="L31" s="22">
        <v>0.15</v>
      </c>
      <c r="M31" s="21">
        <f t="shared" si="16"/>
        <v>8925</v>
      </c>
      <c r="N31" s="21">
        <f t="shared" si="17"/>
        <v>12075</v>
      </c>
    </row>
    <row r="32" ht="18.0" customHeight="1">
      <c r="A32" s="1"/>
      <c r="B32" s="24" t="s">
        <v>133</v>
      </c>
      <c r="C32" s="3"/>
      <c r="D32" s="3"/>
      <c r="E32" s="3"/>
      <c r="F32" s="4"/>
      <c r="G32" s="23">
        <f>SUM(G28:G31)</f>
        <v>214500</v>
      </c>
      <c r="H32" s="1"/>
      <c r="I32" s="1"/>
      <c r="J32" s="23">
        <f>SUM(J28:J31)</f>
        <v>214500</v>
      </c>
      <c r="K32" s="1"/>
      <c r="L32" s="1"/>
      <c r="M32" s="23">
        <f t="shared" ref="M32:N32" si="18">SUM(M28:M31)</f>
        <v>182325</v>
      </c>
      <c r="N32" s="23">
        <f t="shared" si="18"/>
        <v>246675</v>
      </c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ht="15.0" customHeight="1">
      <c r="A34" s="25" t="s">
        <v>134</v>
      </c>
      <c r="B34" s="26" t="s">
        <v>292</v>
      </c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</row>
  </sheetData>
  <mergeCells count="11">
    <mergeCell ref="B23:N23"/>
    <mergeCell ref="A26:N26"/>
    <mergeCell ref="B32:F32"/>
    <mergeCell ref="B34:N34"/>
    <mergeCell ref="A1:N1"/>
    <mergeCell ref="A2:N2"/>
    <mergeCell ref="A4:N4"/>
    <mergeCell ref="B10:F10"/>
    <mergeCell ref="B12:N12"/>
    <mergeCell ref="A15:N15"/>
    <mergeCell ref="B21:F21"/>
  </mergeCells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4" width="11.0"/>
    <col customWidth="1" min="15" max="26" width="8.71"/>
  </cols>
  <sheetData>
    <row r="1" ht="24.75" customHeight="1">
      <c r="A1" s="2" t="s">
        <v>293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</row>
    <row r="2" ht="15.75" customHeight="1">
      <c r="A2" s="5" t="s">
        <v>294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ht="23.25" customHeight="1">
      <c r="A4" s="11" t="s">
        <v>295</v>
      </c>
      <c r="B4" s="11" t="s">
        <v>50</v>
      </c>
      <c r="C4" s="11" t="s">
        <v>55</v>
      </c>
      <c r="D4" s="11" t="s">
        <v>57</v>
      </c>
      <c r="E4" s="11" t="s">
        <v>59</v>
      </c>
      <c r="F4" s="11" t="s">
        <v>62</v>
      </c>
      <c r="G4" s="11" t="s">
        <v>64</v>
      </c>
      <c r="H4" s="11" t="s">
        <v>66</v>
      </c>
      <c r="I4" s="11" t="s">
        <v>68</v>
      </c>
      <c r="J4" s="11" t="s">
        <v>296</v>
      </c>
      <c r="K4" s="11" t="s">
        <v>297</v>
      </c>
      <c r="L4" s="11" t="s">
        <v>298</v>
      </c>
      <c r="M4" s="1"/>
      <c r="N4" s="1"/>
    </row>
    <row r="5" ht="15.75" customHeight="1">
      <c r="A5" s="27" t="s">
        <v>299</v>
      </c>
      <c r="B5" s="21">
        <f>1000000*1</f>
        <v>1000000</v>
      </c>
      <c r="C5" s="21">
        <f>1000000*1.03</f>
        <v>1030000</v>
      </c>
      <c r="D5" s="21">
        <f>1000000*1.08</f>
        <v>1080000</v>
      </c>
      <c r="E5" s="23">
        <f>1000000*1.12</f>
        <v>1120000</v>
      </c>
      <c r="F5" s="21">
        <f>1000000*0.98</f>
        <v>980000</v>
      </c>
      <c r="G5" s="21">
        <f>1000000*1.1</f>
        <v>1100000</v>
      </c>
      <c r="H5" s="21">
        <f>1000000*1.06</f>
        <v>1060000</v>
      </c>
      <c r="I5" s="21">
        <f>1000000*1.15</f>
        <v>1150000</v>
      </c>
      <c r="J5" s="23">
        <f t="shared" ref="J5:J12" si="1">MIN(B5:I5)</f>
        <v>980000</v>
      </c>
      <c r="K5" s="23">
        <f t="shared" ref="K5:K12" si="2">MAX(B5:I5)</f>
        <v>1150000</v>
      </c>
      <c r="L5" s="28">
        <f t="shared" ref="L5:L12" si="3">(K5-J5)/J5</f>
        <v>0.1734693878</v>
      </c>
      <c r="M5" s="1"/>
      <c r="N5" s="1"/>
    </row>
    <row r="6" ht="15.75" customHeight="1">
      <c r="A6" s="27" t="s">
        <v>300</v>
      </c>
      <c r="B6" s="21">
        <f>2000000*1</f>
        <v>2000000</v>
      </c>
      <c r="C6" s="21">
        <f>2000000*1.03</f>
        <v>2060000</v>
      </c>
      <c r="D6" s="21">
        <f>2000000*1.08</f>
        <v>2160000</v>
      </c>
      <c r="E6" s="23">
        <f>2000000*1.12</f>
        <v>2240000</v>
      </c>
      <c r="F6" s="21">
        <f>2000000*0.98</f>
        <v>1960000</v>
      </c>
      <c r="G6" s="21">
        <f>2000000*1.1</f>
        <v>2200000</v>
      </c>
      <c r="H6" s="21">
        <f>2000000*1.06</f>
        <v>2120000</v>
      </c>
      <c r="I6" s="21">
        <f>2000000*1.15</f>
        <v>2300000</v>
      </c>
      <c r="J6" s="23">
        <f t="shared" si="1"/>
        <v>1960000</v>
      </c>
      <c r="K6" s="23">
        <f t="shared" si="2"/>
        <v>2300000</v>
      </c>
      <c r="L6" s="28">
        <f t="shared" si="3"/>
        <v>0.1734693878</v>
      </c>
      <c r="M6" s="1"/>
      <c r="N6" s="1"/>
    </row>
    <row r="7" ht="15.75" customHeight="1">
      <c r="A7" s="27" t="s">
        <v>301</v>
      </c>
      <c r="B7" s="21">
        <f>3000000*1</f>
        <v>3000000</v>
      </c>
      <c r="C7" s="21">
        <f>3000000*1.03</f>
        <v>3090000</v>
      </c>
      <c r="D7" s="21">
        <f>3000000*1.08</f>
        <v>3240000</v>
      </c>
      <c r="E7" s="23">
        <f>3000000*1.12</f>
        <v>3360000</v>
      </c>
      <c r="F7" s="21">
        <f>3000000*0.98</f>
        <v>2940000</v>
      </c>
      <c r="G7" s="21">
        <f>3000000*1.1</f>
        <v>3300000</v>
      </c>
      <c r="H7" s="21">
        <f>3000000*1.06</f>
        <v>3180000</v>
      </c>
      <c r="I7" s="21">
        <f>3000000*1.15</f>
        <v>3450000</v>
      </c>
      <c r="J7" s="23">
        <f t="shared" si="1"/>
        <v>2940000</v>
      </c>
      <c r="K7" s="23">
        <f t="shared" si="2"/>
        <v>3450000</v>
      </c>
      <c r="L7" s="28">
        <f t="shared" si="3"/>
        <v>0.1734693878</v>
      </c>
      <c r="M7" s="1"/>
      <c r="N7" s="1"/>
    </row>
    <row r="8" ht="15.75" customHeight="1">
      <c r="A8" s="27" t="s">
        <v>302</v>
      </c>
      <c r="B8" s="21">
        <f>4000000*1</f>
        <v>4000000</v>
      </c>
      <c r="C8" s="21">
        <f>4000000*1.03</f>
        <v>4120000</v>
      </c>
      <c r="D8" s="21">
        <f>4000000*1.08</f>
        <v>4320000</v>
      </c>
      <c r="E8" s="23">
        <f>4000000*1.12</f>
        <v>4480000</v>
      </c>
      <c r="F8" s="21">
        <f>4000000*0.98</f>
        <v>3920000</v>
      </c>
      <c r="G8" s="21">
        <f>4000000*1.1</f>
        <v>4400000</v>
      </c>
      <c r="H8" s="21">
        <f>4000000*1.06</f>
        <v>4240000</v>
      </c>
      <c r="I8" s="21">
        <f>4000000*1.15</f>
        <v>4600000</v>
      </c>
      <c r="J8" s="23">
        <f t="shared" si="1"/>
        <v>3920000</v>
      </c>
      <c r="K8" s="23">
        <f t="shared" si="2"/>
        <v>4600000</v>
      </c>
      <c r="L8" s="28">
        <f t="shared" si="3"/>
        <v>0.1734693878</v>
      </c>
      <c r="M8" s="1"/>
      <c r="N8" s="1"/>
    </row>
    <row r="9" ht="15.75" customHeight="1">
      <c r="A9" s="27" t="s">
        <v>303</v>
      </c>
      <c r="B9" s="21">
        <f>5000000*1</f>
        <v>5000000</v>
      </c>
      <c r="C9" s="21">
        <f>5000000*1.03</f>
        <v>5150000</v>
      </c>
      <c r="D9" s="21">
        <f>5000000*1.08</f>
        <v>5400000</v>
      </c>
      <c r="E9" s="23">
        <f>5000000*1.12</f>
        <v>5600000</v>
      </c>
      <c r="F9" s="21">
        <f>5000000*0.98</f>
        <v>4900000</v>
      </c>
      <c r="G9" s="21">
        <f>5000000*1.1</f>
        <v>5500000</v>
      </c>
      <c r="H9" s="21">
        <f>5000000*1.06</f>
        <v>5300000</v>
      </c>
      <c r="I9" s="21">
        <f>5000000*1.15</f>
        <v>5750000</v>
      </c>
      <c r="J9" s="23">
        <f t="shared" si="1"/>
        <v>4900000</v>
      </c>
      <c r="K9" s="23">
        <f t="shared" si="2"/>
        <v>5750000</v>
      </c>
      <c r="L9" s="28">
        <f t="shared" si="3"/>
        <v>0.1734693878</v>
      </c>
      <c r="M9" s="1"/>
      <c r="N9" s="1"/>
    </row>
    <row r="10" ht="15.75" customHeight="1">
      <c r="A10" s="27" t="s">
        <v>304</v>
      </c>
      <c r="B10" s="21">
        <f>6000000*1</f>
        <v>6000000</v>
      </c>
      <c r="C10" s="21">
        <f>6000000*1.03</f>
        <v>6180000</v>
      </c>
      <c r="D10" s="21">
        <f>6000000*1.08</f>
        <v>6480000</v>
      </c>
      <c r="E10" s="23">
        <f>6000000*1.12</f>
        <v>6720000</v>
      </c>
      <c r="F10" s="21">
        <f>6000000*0.98</f>
        <v>5880000</v>
      </c>
      <c r="G10" s="21">
        <f>6000000*1.1</f>
        <v>6600000</v>
      </c>
      <c r="H10" s="21">
        <f>6000000*1.06</f>
        <v>6360000</v>
      </c>
      <c r="I10" s="21">
        <f>6000000*1.15</f>
        <v>6900000</v>
      </c>
      <c r="J10" s="23">
        <f t="shared" si="1"/>
        <v>5880000</v>
      </c>
      <c r="K10" s="23">
        <f t="shared" si="2"/>
        <v>6900000</v>
      </c>
      <c r="L10" s="28">
        <f t="shared" si="3"/>
        <v>0.1734693878</v>
      </c>
      <c r="M10" s="1"/>
      <c r="N10" s="1"/>
    </row>
    <row r="11" ht="15.75" customHeight="1">
      <c r="A11" s="27" t="s">
        <v>305</v>
      </c>
      <c r="B11" s="21">
        <f>7000000*1</f>
        <v>7000000</v>
      </c>
      <c r="C11" s="21">
        <f>7000000*1.03</f>
        <v>7210000</v>
      </c>
      <c r="D11" s="21">
        <f>7000000*1.08</f>
        <v>7560000</v>
      </c>
      <c r="E11" s="23">
        <f>7000000*1.12</f>
        <v>7840000</v>
      </c>
      <c r="F11" s="21">
        <f>7000000*0.98</f>
        <v>6860000</v>
      </c>
      <c r="G11" s="21">
        <f>7000000*1.1</f>
        <v>7700000</v>
      </c>
      <c r="H11" s="21">
        <f>7000000*1.06</f>
        <v>7420000</v>
      </c>
      <c r="I11" s="21">
        <f>7000000*1.15</f>
        <v>8050000</v>
      </c>
      <c r="J11" s="23">
        <f t="shared" si="1"/>
        <v>6860000</v>
      </c>
      <c r="K11" s="23">
        <f t="shared" si="2"/>
        <v>8050000</v>
      </c>
      <c r="L11" s="28">
        <f t="shared" si="3"/>
        <v>0.1734693878</v>
      </c>
      <c r="M11" s="1"/>
      <c r="N11" s="1"/>
    </row>
    <row r="12" ht="15.75" customHeight="1">
      <c r="A12" s="27" t="s">
        <v>306</v>
      </c>
      <c r="B12" s="21">
        <f>8000000*1</f>
        <v>8000000</v>
      </c>
      <c r="C12" s="21">
        <f>8000000*1.03</f>
        <v>8240000</v>
      </c>
      <c r="D12" s="21">
        <f>8000000*1.08</f>
        <v>8640000</v>
      </c>
      <c r="E12" s="23">
        <f>8000000*1.12</f>
        <v>8960000</v>
      </c>
      <c r="F12" s="21">
        <f>8000000*0.98</f>
        <v>7840000</v>
      </c>
      <c r="G12" s="21">
        <f>8000000*1.1</f>
        <v>8800000</v>
      </c>
      <c r="H12" s="21">
        <f>8000000*1.06</f>
        <v>8480000</v>
      </c>
      <c r="I12" s="21">
        <f>8000000*1.15</f>
        <v>9200000</v>
      </c>
      <c r="J12" s="23">
        <f t="shared" si="1"/>
        <v>7840000</v>
      </c>
      <c r="K12" s="23">
        <f t="shared" si="2"/>
        <v>9200000</v>
      </c>
      <c r="L12" s="28">
        <f t="shared" si="3"/>
        <v>0.1734693878</v>
      </c>
      <c r="M12" s="1"/>
      <c r="N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ht="19.5" customHeight="1">
      <c r="A15" s="8" t="s">
        <v>307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4"/>
    </row>
    <row r="16" ht="15.75" customHeight="1">
      <c r="A16" s="29" t="s">
        <v>308</v>
      </c>
      <c r="C16" s="30">
        <f>1.12</f>
        <v>1.12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ht="15.75" customHeight="1">
      <c r="A17" s="29" t="s">
        <v>309</v>
      </c>
      <c r="C17" s="30">
        <f>1.15</f>
        <v>1.15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ht="15.75" customHeight="1">
      <c r="A18" s="29" t="s">
        <v>310</v>
      </c>
      <c r="C18" s="30">
        <f>1.15-1.12</f>
        <v>0.03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ht="15.75" customHeight="1">
      <c r="A19" s="29" t="s">
        <v>311</v>
      </c>
      <c r="C19" s="31">
        <f>AVERAGE(1,1.03,1.08,1.12,0.98,1.1,1.06,1.15)</f>
        <v>1.065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ht="21.75" customHeight="1">
      <c r="A20" s="32" t="s">
        <v>312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4"/>
    </row>
    <row r="21" ht="15.75" customHeight="1">
      <c r="A21" s="33" t="s">
        <v>295</v>
      </c>
      <c r="B21" s="33" t="s">
        <v>313</v>
      </c>
      <c r="C21" s="33" t="s">
        <v>314</v>
      </c>
      <c r="D21" s="33" t="s">
        <v>315</v>
      </c>
      <c r="E21" s="33" t="s">
        <v>316</v>
      </c>
      <c r="F21" s="33" t="s">
        <v>317</v>
      </c>
      <c r="G21" s="1"/>
      <c r="H21" s="1"/>
      <c r="I21" s="1"/>
      <c r="J21" s="1"/>
      <c r="K21" s="1"/>
      <c r="L21" s="1"/>
      <c r="M21" s="1"/>
      <c r="N21" s="1"/>
    </row>
    <row r="22" ht="18.0" customHeight="1">
      <c r="A22" s="34" t="s">
        <v>299</v>
      </c>
      <c r="B22" s="35">
        <v>3500000.0</v>
      </c>
      <c r="C22" s="36">
        <f t="shared" ref="C22:C29" si="4">B22*0.85</f>
        <v>2975000</v>
      </c>
      <c r="D22" s="37">
        <f t="shared" ref="D22:D29" si="5">B22*1.15</f>
        <v>4025000</v>
      </c>
      <c r="E22" s="35">
        <f t="shared" ref="E22:E29" si="6">D22-C22</f>
        <v>1050000</v>
      </c>
      <c r="F22" s="38">
        <f t="shared" ref="F22:F29" si="7">30%</f>
        <v>0.3</v>
      </c>
      <c r="G22" s="1"/>
      <c r="H22" s="1"/>
      <c r="I22" s="1"/>
      <c r="J22" s="1"/>
      <c r="K22" s="1"/>
      <c r="L22" s="1"/>
      <c r="M22" s="1"/>
      <c r="N22" s="1"/>
    </row>
    <row r="23" ht="18.0" customHeight="1">
      <c r="A23" s="34" t="s">
        <v>300</v>
      </c>
      <c r="B23" s="35">
        <v>2800000.0</v>
      </c>
      <c r="C23" s="36">
        <f t="shared" si="4"/>
        <v>2380000</v>
      </c>
      <c r="D23" s="37">
        <f t="shared" si="5"/>
        <v>3220000</v>
      </c>
      <c r="E23" s="35">
        <f t="shared" si="6"/>
        <v>840000</v>
      </c>
      <c r="F23" s="38">
        <f t="shared" si="7"/>
        <v>0.3</v>
      </c>
      <c r="G23" s="1"/>
      <c r="H23" s="1"/>
      <c r="I23" s="1"/>
      <c r="J23" s="1"/>
      <c r="K23" s="1"/>
      <c r="L23" s="1"/>
      <c r="M23" s="1"/>
      <c r="N23" s="1"/>
    </row>
    <row r="24" ht="18.0" customHeight="1">
      <c r="A24" s="34" t="s">
        <v>301</v>
      </c>
      <c r="B24" s="35">
        <v>1.25E7</v>
      </c>
      <c r="C24" s="36">
        <f t="shared" si="4"/>
        <v>10625000</v>
      </c>
      <c r="D24" s="37">
        <f t="shared" si="5"/>
        <v>14375000</v>
      </c>
      <c r="E24" s="35">
        <f t="shared" si="6"/>
        <v>3750000</v>
      </c>
      <c r="F24" s="38">
        <f t="shared" si="7"/>
        <v>0.3</v>
      </c>
      <c r="G24" s="1"/>
      <c r="H24" s="1"/>
      <c r="I24" s="1"/>
      <c r="J24" s="1"/>
      <c r="K24" s="1"/>
      <c r="L24" s="1"/>
      <c r="M24" s="1"/>
      <c r="N24" s="1"/>
    </row>
    <row r="25" ht="18.0" customHeight="1">
      <c r="A25" s="34" t="s">
        <v>302</v>
      </c>
      <c r="B25" s="35">
        <v>4200000.0</v>
      </c>
      <c r="C25" s="36">
        <f t="shared" si="4"/>
        <v>3570000</v>
      </c>
      <c r="D25" s="37">
        <f t="shared" si="5"/>
        <v>4830000</v>
      </c>
      <c r="E25" s="35">
        <f t="shared" si="6"/>
        <v>1260000</v>
      </c>
      <c r="F25" s="38">
        <f t="shared" si="7"/>
        <v>0.3</v>
      </c>
      <c r="G25" s="1"/>
      <c r="H25" s="1"/>
      <c r="I25" s="1"/>
      <c r="J25" s="1"/>
      <c r="K25" s="1"/>
      <c r="L25" s="1"/>
      <c r="M25" s="1"/>
      <c r="N25" s="1"/>
    </row>
    <row r="26" ht="18.0" customHeight="1">
      <c r="A26" s="34" t="s">
        <v>303</v>
      </c>
      <c r="B26" s="35">
        <v>6800000.0</v>
      </c>
      <c r="C26" s="36">
        <f t="shared" si="4"/>
        <v>5780000</v>
      </c>
      <c r="D26" s="37">
        <f t="shared" si="5"/>
        <v>7820000</v>
      </c>
      <c r="E26" s="35">
        <f t="shared" si="6"/>
        <v>2040000</v>
      </c>
      <c r="F26" s="38">
        <f t="shared" si="7"/>
        <v>0.3</v>
      </c>
      <c r="G26" s="1"/>
      <c r="H26" s="1"/>
      <c r="I26" s="1"/>
      <c r="J26" s="1"/>
      <c r="K26" s="1"/>
      <c r="L26" s="1"/>
      <c r="M26" s="1"/>
      <c r="N26" s="1"/>
    </row>
    <row r="27" ht="18.0" customHeight="1">
      <c r="A27" s="34" t="s">
        <v>318</v>
      </c>
      <c r="B27" s="35">
        <v>3200000.0</v>
      </c>
      <c r="C27" s="36">
        <f t="shared" si="4"/>
        <v>2720000</v>
      </c>
      <c r="D27" s="37">
        <f t="shared" si="5"/>
        <v>3680000</v>
      </c>
      <c r="E27" s="35">
        <f t="shared" si="6"/>
        <v>960000</v>
      </c>
      <c r="F27" s="38">
        <f t="shared" si="7"/>
        <v>0.3</v>
      </c>
      <c r="G27" s="1"/>
      <c r="H27" s="1"/>
      <c r="I27" s="1"/>
      <c r="J27" s="1"/>
      <c r="K27" s="1"/>
      <c r="L27" s="1"/>
      <c r="M27" s="1"/>
      <c r="N27" s="1"/>
    </row>
    <row r="28" ht="18.0" customHeight="1">
      <c r="A28" s="34" t="s">
        <v>319</v>
      </c>
      <c r="B28" s="35">
        <v>2900000.0</v>
      </c>
      <c r="C28" s="36">
        <f t="shared" si="4"/>
        <v>2465000</v>
      </c>
      <c r="D28" s="37">
        <f t="shared" si="5"/>
        <v>3335000</v>
      </c>
      <c r="E28" s="35">
        <f t="shared" si="6"/>
        <v>870000</v>
      </c>
      <c r="F28" s="38">
        <f t="shared" si="7"/>
        <v>0.3</v>
      </c>
      <c r="G28" s="1"/>
      <c r="H28" s="1"/>
      <c r="I28" s="1"/>
      <c r="J28" s="1"/>
      <c r="K28" s="1"/>
      <c r="L28" s="1"/>
      <c r="M28" s="1"/>
      <c r="N28" s="1"/>
    </row>
    <row r="29" ht="18.0" customHeight="1">
      <c r="A29" s="34" t="s">
        <v>306</v>
      </c>
      <c r="B29" s="35">
        <v>4100000.0</v>
      </c>
      <c r="C29" s="36">
        <f t="shared" si="4"/>
        <v>3485000</v>
      </c>
      <c r="D29" s="37">
        <f t="shared" si="5"/>
        <v>4715000</v>
      </c>
      <c r="E29" s="35">
        <f t="shared" si="6"/>
        <v>1230000</v>
      </c>
      <c r="F29" s="38">
        <f t="shared" si="7"/>
        <v>0.3</v>
      </c>
      <c r="G29" s="1"/>
      <c r="H29" s="1"/>
      <c r="I29" s="1"/>
      <c r="J29" s="1"/>
      <c r="K29" s="1"/>
      <c r="L29" s="1"/>
      <c r="M29" s="1"/>
      <c r="N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ht="19.5" customHeight="1">
      <c r="A38" s="39" t="s">
        <v>320</v>
      </c>
      <c r="B38" s="40">
        <f t="shared" ref="B38:E38" si="8">SUM(B22:B29)</f>
        <v>40000000</v>
      </c>
      <c r="C38" s="40">
        <f t="shared" si="8"/>
        <v>34000000</v>
      </c>
      <c r="D38" s="40">
        <f t="shared" si="8"/>
        <v>46000000</v>
      </c>
      <c r="E38" s="41">
        <f t="shared" si="8"/>
        <v>12000000</v>
      </c>
      <c r="F38" s="1"/>
      <c r="G38" s="1"/>
      <c r="H38" s="1"/>
      <c r="I38" s="1"/>
      <c r="J38" s="1"/>
      <c r="K38" s="1"/>
      <c r="L38" s="1"/>
      <c r="M38" s="1"/>
      <c r="N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ht="19.5" customHeight="1">
      <c r="A41" s="42" t="s">
        <v>321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ht="13.5" customHeight="1">
      <c r="A42" s="26" t="s">
        <v>322</v>
      </c>
    </row>
    <row r="43" ht="13.5" customHeight="1">
      <c r="A43" s="26" t="s">
        <v>323</v>
      </c>
    </row>
    <row r="44" ht="13.5" customHeight="1">
      <c r="A44" s="26" t="s">
        <v>324</v>
      </c>
    </row>
    <row r="45" ht="13.5" customHeight="1">
      <c r="A45" s="26" t="s">
        <v>325</v>
      </c>
    </row>
    <row r="46" ht="13.5" customHeight="1">
      <c r="A46" s="26" t="s">
        <v>326</v>
      </c>
    </row>
    <row r="47" ht="13.5" customHeight="1">
      <c r="A47" s="26" t="s">
        <v>327</v>
      </c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</row>
  </sheetData>
  <mergeCells count="14">
    <mergeCell ref="A20:N20"/>
    <mergeCell ref="A42:N42"/>
    <mergeCell ref="A43:N43"/>
    <mergeCell ref="A44:N44"/>
    <mergeCell ref="A45:N45"/>
    <mergeCell ref="A46:N46"/>
    <mergeCell ref="A47:N47"/>
    <mergeCell ref="A1:N1"/>
    <mergeCell ref="A2:N2"/>
    <mergeCell ref="A15:N15"/>
    <mergeCell ref="A16:B16"/>
    <mergeCell ref="A17:B17"/>
    <mergeCell ref="A18:B18"/>
    <mergeCell ref="A19:B19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2026-06-18T17:11:34Z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